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ylaban/Downloads/FIN 321/"/>
    </mc:Choice>
  </mc:AlternateContent>
  <xr:revisionPtr revIDLastSave="0" documentId="13_ncr:1_{C512C9CA-84AC-BC44-9CEE-5C0EC543AC19}" xr6:coauthVersionLast="47" xr6:coauthVersionMax="47" xr10:uidLastSave="{00000000-0000-0000-0000-000000000000}"/>
  <bookViews>
    <workbookView xWindow="10260" yWindow="520" windowWidth="18540" windowHeight="16600" xr2:uid="{5869649E-E71D-7042-AA5A-7C6952EB6DFE}"/>
  </bookViews>
  <sheets>
    <sheet name="Mode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4" i="1"/>
  <c r="B45" i="1" s="1"/>
  <c r="B46" i="1" s="1"/>
  <c r="B39" i="1"/>
  <c r="B40" i="1" s="1"/>
  <c r="B41" i="1" s="1"/>
  <c r="A53" i="1"/>
  <c r="A54" i="1" s="1"/>
  <c r="B31" i="1"/>
  <c r="B30" i="1"/>
  <c r="B25" i="1"/>
  <c r="B26" i="1" s="1"/>
  <c r="B27" i="1" s="1"/>
  <c r="B85" i="1" s="1"/>
  <c r="B17" i="1"/>
  <c r="B84" i="1" s="1"/>
  <c r="B32" i="1" l="1"/>
  <c r="B34" i="1"/>
  <c r="C53" i="1"/>
  <c r="C56" i="1"/>
  <c r="A55" i="1"/>
  <c r="F54" i="1"/>
  <c r="E54" i="1"/>
  <c r="B54" i="1"/>
  <c r="B53" i="1"/>
  <c r="C59" i="1"/>
  <c r="D62" i="1"/>
  <c r="D54" i="1"/>
  <c r="C58" i="1"/>
  <c r="D61" i="1"/>
  <c r="E53" i="1"/>
  <c r="C57" i="1"/>
  <c r="D60" i="1"/>
  <c r="C63" i="1"/>
  <c r="C55" i="1"/>
  <c r="D58" i="1"/>
  <c r="F53" i="1"/>
  <c r="C62" i="1"/>
  <c r="C54" i="1"/>
  <c r="D57" i="1"/>
  <c r="D59" i="1"/>
  <c r="C61" i="1"/>
  <c r="D53" i="1"/>
  <c r="D56" i="1"/>
  <c r="C60" i="1"/>
  <c r="D63" i="1"/>
  <c r="D55" i="1"/>
  <c r="A56" i="1" l="1"/>
  <c r="F55" i="1"/>
  <c r="E55" i="1"/>
  <c r="B55" i="1"/>
  <c r="A57" i="1" l="1"/>
  <c r="F56" i="1"/>
  <c r="E56" i="1"/>
  <c r="B56" i="1"/>
  <c r="A58" i="1" l="1"/>
  <c r="B57" i="1"/>
  <c r="F57" i="1"/>
  <c r="E57" i="1"/>
  <c r="A59" i="1" l="1"/>
  <c r="E58" i="1"/>
  <c r="B58" i="1"/>
  <c r="F58" i="1"/>
  <c r="A60" i="1" l="1"/>
  <c r="E59" i="1"/>
  <c r="B59" i="1"/>
  <c r="F59" i="1"/>
  <c r="A61" i="1" l="1"/>
  <c r="E60" i="1"/>
  <c r="B60" i="1"/>
  <c r="F60" i="1"/>
  <c r="A62" i="1" l="1"/>
  <c r="F61" i="1"/>
  <c r="B61" i="1"/>
  <c r="E61" i="1"/>
  <c r="A63" i="1" l="1"/>
  <c r="F62" i="1"/>
  <c r="E62" i="1"/>
  <c r="B62" i="1"/>
  <c r="F63" i="1" l="1"/>
  <c r="E63" i="1"/>
  <c r="B63" i="1"/>
</calcChain>
</file>

<file path=xl/sharedStrings.xml><?xml version="1.0" encoding="utf-8"?>
<sst xmlns="http://schemas.openxmlformats.org/spreadsheetml/2006/main" count="76" uniqueCount="75">
  <si>
    <t>Stage 3 – FX Hedge Model: U.S. Tech Services Firm (EUR Receivable)</t>
  </si>
  <si>
    <t>Label</t>
  </si>
  <si>
    <t>Value</t>
  </si>
  <si>
    <t>Unit / Comment</t>
  </si>
  <si>
    <t>FC_AMT</t>
  </si>
  <si>
    <t>Foreign-currency receivable</t>
  </si>
  <si>
    <t xml:space="preserve">S₀ </t>
  </si>
  <si>
    <t xml:space="preserve">Current EURUSD spot rate </t>
  </si>
  <si>
    <t xml:space="preserve">F₀ </t>
  </si>
  <si>
    <t xml:space="preserve">1-year EURUSD forward rate </t>
  </si>
  <si>
    <t xml:space="preserve">r_USD </t>
  </si>
  <si>
    <t xml:space="preserve">USD 1-year interest rate </t>
  </si>
  <si>
    <t xml:space="preserve">r_EUR </t>
  </si>
  <si>
    <t>EUR 1-year interest rate</t>
  </si>
  <si>
    <t xml:space="preserve">t </t>
  </si>
  <si>
    <t>Time to maturity</t>
  </si>
  <si>
    <t xml:space="preserve">K_put </t>
  </si>
  <si>
    <t>EUR Put strike</t>
  </si>
  <si>
    <t xml:space="preserve">K_call </t>
  </si>
  <si>
    <t>EUR Call strike</t>
  </si>
  <si>
    <t xml:space="preserve">Premium_put </t>
  </si>
  <si>
    <t xml:space="preserve">Put premium </t>
  </si>
  <si>
    <t xml:space="preserve">Premium_call </t>
  </si>
  <si>
    <t xml:space="preserve">Call premium </t>
  </si>
  <si>
    <t>Notes &amp; Assumptions</t>
  </si>
  <si>
    <t>1. Inputs</t>
  </si>
  <si>
    <t>2. Forward Hedge</t>
  </si>
  <si>
    <t>4. Option Hedges (Put and Call)</t>
  </si>
  <si>
    <t>5. Sensitivity Table (±5 % in EURUSD)</t>
  </si>
  <si>
    <t>6. Outputs</t>
  </si>
  <si>
    <t xml:space="preserve">USD_forward = FC_AMT × F₀ </t>
  </si>
  <si>
    <t>Because you’ll receive EUR in 1 year, the MM hedge:</t>
  </si>
  <si>
    <t>Borrows EUR today equal to the PV of the future receivable</t>
  </si>
  <si>
    <t>Immediately converts those EUR to USD at today’s spot</t>
  </si>
  <si>
    <t>Invests the USD for 1 year at the USD interest rate</t>
  </si>
  <si>
    <t>Put Option Hedge (Long EUR Put)</t>
  </si>
  <si>
    <t>Call Option Hedge (Long EUR Call)</t>
  </si>
  <si>
    <t>Forward hedge result (USD)</t>
  </si>
  <si>
    <t>Money Market hedge result (USD)</t>
  </si>
  <si>
    <t>Option results across scenarios</t>
  </si>
  <si>
    <t>Recommendation placeholder (will be finalized in Stage 5)</t>
  </si>
  <si>
    <t xml:space="preserve">Convert to USD today = PV of EUR borrowing today × S₀ </t>
  </si>
  <si>
    <t>S_T</t>
  </si>
  <si>
    <t>Unhedged USD</t>
  </si>
  <si>
    <t>Forward USD</t>
  </si>
  <si>
    <t>MM USD</t>
  </si>
  <si>
    <t>Put USD</t>
  </si>
  <si>
    <t>Call USD</t>
  </si>
  <si>
    <t>3. Money Market (MM) Hedge</t>
  </si>
  <si>
    <t>See sensitivity table for put and 
call hedge USD proceeds across 
S_T from 0.95×S₀ to 1.05×S₀.</t>
  </si>
  <si>
    <t>PV of EUR borrowing today = FC_AMT/(1 + r_EUR)</t>
  </si>
  <si>
    <t xml:space="preserve">Invest USD in 1 year = conversion to USD × (1 + r_USD) </t>
  </si>
  <si>
    <t>Covered Interest Parity Check:</t>
  </si>
  <si>
    <t>CIP Forward Rate = S₀ × (1 + r_USD)/(1 + r_EUR)</t>
  </si>
  <si>
    <t>Given Forward Rate = F₀</t>
  </si>
  <si>
    <t>Difference = F₀ - CIP_forward</t>
  </si>
  <si>
    <t>Difference Between Forward and MM Hedge Proceeds</t>
  </si>
  <si>
    <t>Put Premium Cost (EUR) = FC_AMT × Premium_put</t>
  </si>
  <si>
    <t>Call Premium Cost (EUR) = FC_AMT × Premium_call</t>
  </si>
  <si>
    <t>Convert Premium into USD = Premium_EUR × S₀</t>
  </si>
  <si>
    <t>Put Hedge at S₀</t>
  </si>
  <si>
    <t>Call Hedge at S₀</t>
  </si>
  <si>
    <t>Based on the current inputs, the 
Money Market hedge delivers 
higher USD proceeds than the 
forward contract. The put and call option hedges provide different trade-offs between downside protection and upside participation. The final hedge choice will be made in Stage 5 after considering the firm's risk tolerance, liquidity constraints, and any market frictions.</t>
  </si>
  <si>
    <t>Total Premium Cost (EUR)</t>
  </si>
  <si>
    <t>Total Premium Cost (USD)</t>
  </si>
  <si>
    <t>Interest rates are annual, simple-compounded.</t>
  </si>
  <si>
    <t>Single lump-sum cash flow—no interim payments.</t>
  </si>
  <si>
    <t>The CIP-implied forward rate (1.1654) does not match the given forward rate (1.091). Because F₀&lt; F_CIP, the forward is underpriced relative to interest-rate parity. As expected, the money market  hedge produces higher USD proceeds than the forward hedge.</t>
  </si>
  <si>
    <t>EUR receivable of €12,500,000 collected in 1 year (t = 1).</t>
  </si>
  <si>
    <t>All FX quotes expressed as EURUSD (USD per EUR).</t>
  </si>
  <si>
    <t>Forward and money-market hedges compared under interest-rate parity logic.</t>
  </si>
  <si>
    <t>Option premiums are paid upfront, converted at S₀, and treated as immediate cash outflows.</t>
  </si>
  <si>
    <t>No transaction costs, bid–ask spreads, or credit risk included.</t>
  </si>
  <si>
    <t>All contracts are held to maturity; no early exercise assumed.</t>
  </si>
  <si>
    <t>Rounding applied only at final outputs to maintain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</si>
</sst>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1F2328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A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  <xf numFmtId="164" fontId="4" fillId="0" borderId="0" xfId="1" applyNumberFormat="1" applyFont="1"/>
    <xf numFmtId="0" fontId="8" fillId="0" borderId="0" xfId="0" applyFont="1"/>
    <xf numFmtId="164" fontId="8" fillId="0" borderId="0" xfId="1" applyNumberFormat="1" applyFont="1"/>
    <xf numFmtId="164" fontId="5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7" fillId="0" borderId="1" xfId="0" applyFont="1" applyBorder="1"/>
    <xf numFmtId="0" fontId="10" fillId="0" borderId="1" xfId="0" applyFont="1" applyBorder="1"/>
    <xf numFmtId="164" fontId="7" fillId="0" borderId="1" xfId="0" applyNumberFormat="1" applyFont="1" applyBorder="1"/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3" fontId="10" fillId="2" borderId="1" xfId="0" applyNumberFormat="1" applyFont="1" applyFill="1" applyBorder="1"/>
    <xf numFmtId="0" fontId="10" fillId="2" borderId="1" xfId="0" applyFont="1" applyFill="1" applyBorder="1"/>
    <xf numFmtId="10" fontId="10" fillId="2" borderId="1" xfId="0" applyNumberFormat="1" applyFont="1" applyFill="1" applyBorder="1"/>
    <xf numFmtId="0" fontId="1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Hedge Strategy Payoffs Across Future EURUSD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1640523281046"/>
          <c:y val="7.9917103122290695E-2"/>
          <c:w val="0.87738359476718952"/>
          <c:h val="0.74937138513794377"/>
        </c:manualLayout>
      </c:layout>
      <c:lineChart>
        <c:grouping val="standard"/>
        <c:varyColors val="0"/>
        <c:ser>
          <c:idx val="0"/>
          <c:order val="0"/>
          <c:tx>
            <c:strRef>
              <c:f>Model!$A$52</c:f>
              <c:strCache>
                <c:ptCount val="1"/>
                <c:pt idx="0">
                  <c:v>S_T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Model!$A$53:$A$63</c:f>
              <c:numCache>
                <c:formatCode>General</c:formatCode>
                <c:ptCount val="11"/>
                <c:pt idx="0">
                  <c:v>1.0906949999999997</c:v>
                </c:pt>
                <c:pt idx="1">
                  <c:v>1.1021759999999998</c:v>
                </c:pt>
                <c:pt idx="2">
                  <c:v>1.1136569999999999</c:v>
                </c:pt>
                <c:pt idx="3">
                  <c:v>1.125138</c:v>
                </c:pt>
                <c:pt idx="4">
                  <c:v>1.136619</c:v>
                </c:pt>
                <c:pt idx="5">
                  <c:v>1.1481000000000001</c:v>
                </c:pt>
                <c:pt idx="6">
                  <c:v>1.1595810000000002</c:v>
                </c:pt>
                <c:pt idx="7">
                  <c:v>1.1710620000000003</c:v>
                </c:pt>
                <c:pt idx="8">
                  <c:v>1.1825430000000003</c:v>
                </c:pt>
                <c:pt idx="9">
                  <c:v>1.1940240000000004</c:v>
                </c:pt>
                <c:pt idx="10">
                  <c:v>1.2055050000000005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6-1848-9FCC-C2176249B879}"/>
            </c:ext>
          </c:extLst>
        </c:ser>
        <c:ser>
          <c:idx val="1"/>
          <c:order val="1"/>
          <c:tx>
            <c:strRef>
              <c:f>Model!$B$52</c:f>
              <c:strCache>
                <c:ptCount val="1"/>
                <c:pt idx="0">
                  <c:v>Unhedged 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Model!$B$53:$B$63</c:f>
              <c:numCache>
                <c:formatCode>"$"#,##0.00</c:formatCode>
                <c:ptCount val="11"/>
                <c:pt idx="0">
                  <c:v>13633687.499999996</c:v>
                </c:pt>
                <c:pt idx="1">
                  <c:v>13777199.999999998</c:v>
                </c:pt>
                <c:pt idx="2">
                  <c:v>13920712.499999998</c:v>
                </c:pt>
                <c:pt idx="3">
                  <c:v>14064225</c:v>
                </c:pt>
                <c:pt idx="4">
                  <c:v>14207737.5</c:v>
                </c:pt>
                <c:pt idx="5">
                  <c:v>14351250.000000002</c:v>
                </c:pt>
                <c:pt idx="6">
                  <c:v>14494762.500000002</c:v>
                </c:pt>
                <c:pt idx="7">
                  <c:v>14638275.000000004</c:v>
                </c:pt>
                <c:pt idx="8">
                  <c:v>14781787.500000004</c:v>
                </c:pt>
                <c:pt idx="9">
                  <c:v>14925300.000000006</c:v>
                </c:pt>
                <c:pt idx="10">
                  <c:v>15068812.500000006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6-1848-9FCC-C2176249B879}"/>
            </c:ext>
          </c:extLst>
        </c:ser>
        <c:ser>
          <c:idx val="2"/>
          <c:order val="2"/>
          <c:tx>
            <c:strRef>
              <c:f>Model!$C$52</c:f>
              <c:strCache>
                <c:ptCount val="1"/>
                <c:pt idx="0">
                  <c:v>Forward 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Model!$C$53:$C$63</c:f>
              <c:numCache>
                <c:formatCode>"$"#,##0.00</c:formatCode>
                <c:ptCount val="11"/>
                <c:pt idx="0">
                  <c:v>13637500</c:v>
                </c:pt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6-1848-9FCC-C2176249B879}"/>
            </c:ext>
          </c:extLst>
        </c:ser>
        <c:ser>
          <c:idx val="3"/>
          <c:order val="3"/>
          <c:tx>
            <c:strRef>
              <c:f>Model!$D$52</c:f>
              <c:strCache>
                <c:ptCount val="1"/>
                <c:pt idx="0">
                  <c:v>MM USD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Model!$D$53:$D$63</c:f>
              <c:numCache>
                <c:formatCode>"$"#,##0.00</c:formatCode>
                <c:ptCount val="11"/>
                <c:pt idx="0">
                  <c:v>14568071.489767939</c:v>
                </c:pt>
                <c:pt idx="1">
                  <c:v>14568071.489767939</c:v>
                </c:pt>
                <c:pt idx="2">
                  <c:v>14568071.489767939</c:v>
                </c:pt>
                <c:pt idx="3">
                  <c:v>14568071.489767939</c:v>
                </c:pt>
                <c:pt idx="4">
                  <c:v>14568071.489767939</c:v>
                </c:pt>
                <c:pt idx="5">
                  <c:v>14568071.489767939</c:v>
                </c:pt>
                <c:pt idx="6">
                  <c:v>14568071.489767939</c:v>
                </c:pt>
                <c:pt idx="7">
                  <c:v>14568071.489767939</c:v>
                </c:pt>
                <c:pt idx="8">
                  <c:v>14568071.489767939</c:v>
                </c:pt>
                <c:pt idx="9">
                  <c:v>14568071.489767939</c:v>
                </c:pt>
                <c:pt idx="10">
                  <c:v>14568071.489767939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16-1848-9FCC-C2176249B879}"/>
            </c:ext>
          </c:extLst>
        </c:ser>
        <c:ser>
          <c:idx val="4"/>
          <c:order val="4"/>
          <c:tx>
            <c:strRef>
              <c:f>Model!$E$52</c:f>
              <c:strCache>
                <c:ptCount val="1"/>
                <c:pt idx="0">
                  <c:v>Put USD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Model!$E$53:$E$63</c:f>
              <c:numCache>
                <c:formatCode>"$"#,##0.00</c:formatCode>
                <c:ptCount val="11"/>
                <c:pt idx="0">
                  <c:v>14107278.749999998</c:v>
                </c:pt>
                <c:pt idx="1">
                  <c:v>14107278.75</c:v>
                </c:pt>
                <c:pt idx="2">
                  <c:v>14107278.749999998</c:v>
                </c:pt>
                <c:pt idx="3">
                  <c:v>14107278.75</c:v>
                </c:pt>
                <c:pt idx="4">
                  <c:v>14107278.749999998</c:v>
                </c:pt>
                <c:pt idx="5">
                  <c:v>14107278.750000002</c:v>
                </c:pt>
                <c:pt idx="6">
                  <c:v>14250791.250000002</c:v>
                </c:pt>
                <c:pt idx="7">
                  <c:v>14394303.750000004</c:v>
                </c:pt>
                <c:pt idx="8">
                  <c:v>14537816.250000004</c:v>
                </c:pt>
                <c:pt idx="9">
                  <c:v>14681328.750000006</c:v>
                </c:pt>
                <c:pt idx="10">
                  <c:v>14824841.250000006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16-1848-9FCC-C2176249B879}"/>
            </c:ext>
          </c:extLst>
        </c:ser>
        <c:ser>
          <c:idx val="5"/>
          <c:order val="5"/>
          <c:tx>
            <c:strRef>
              <c:f>Model!$F$52</c:f>
              <c:strCache>
                <c:ptCount val="1"/>
                <c:pt idx="0">
                  <c:v>Call USD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Model!$F$53:$F$63</c:f>
              <c:numCache>
                <c:formatCode>"$"#,##0.00</c:formatCode>
                <c:ptCount val="11"/>
                <c:pt idx="0">
                  <c:v>13317959.999999996</c:v>
                </c:pt>
                <c:pt idx="1">
                  <c:v>13461472.499999998</c:v>
                </c:pt>
                <c:pt idx="2">
                  <c:v>13604984.999999998</c:v>
                </c:pt>
                <c:pt idx="3">
                  <c:v>13748497.5</c:v>
                </c:pt>
                <c:pt idx="4">
                  <c:v>13892010</c:v>
                </c:pt>
                <c:pt idx="5">
                  <c:v>14035522.500000004</c:v>
                </c:pt>
                <c:pt idx="6">
                  <c:v>14322547.500000006</c:v>
                </c:pt>
                <c:pt idx="7">
                  <c:v>14609572.500000007</c:v>
                </c:pt>
                <c:pt idx="8">
                  <c:v>14896597.500000009</c:v>
                </c:pt>
                <c:pt idx="9">
                  <c:v>15183622.500000011</c:v>
                </c:pt>
                <c:pt idx="10">
                  <c:v>15470647.500000013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16-1848-9FCC-C2176249B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678400"/>
        <c:axId val="1352931040"/>
      </c:lineChart>
      <c:catAx>
        <c:axId val="1472678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31040"/>
        <c:crosses val="autoZero"/>
        <c:auto val="1"/>
        <c:lblAlgn val="ctr"/>
        <c:lblOffset val="100"/>
        <c:noMultiLvlLbl val="0"/>
      </c:catAx>
      <c:valAx>
        <c:axId val="13529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7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31750</xdr:rowOff>
    </xdr:from>
    <xdr:to>
      <xdr:col>1</xdr:col>
      <xdr:colOff>1930400</xdr:colOff>
      <xdr:row>82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4878C-2ADE-B715-86DA-DFB3AFF84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11C2-F0C7-9A4C-BF5A-778BAF898A5F}">
  <dimension ref="A1:F87"/>
  <sheetViews>
    <sheetView tabSelected="1" topLeftCell="A67" workbookViewId="0">
      <selection activeCell="D73" sqref="D73"/>
    </sheetView>
  </sheetViews>
  <sheetFormatPr baseColWidth="10" defaultRowHeight="16" x14ac:dyDescent="0.2"/>
  <cols>
    <col min="1" max="1" width="50.1640625" customWidth="1"/>
    <col min="2" max="2" width="25.6640625" customWidth="1"/>
    <col min="3" max="3" width="24.83203125" customWidth="1"/>
    <col min="4" max="5" width="13.6640625" bestFit="1" customWidth="1"/>
    <col min="6" max="6" width="14.5" customWidth="1"/>
  </cols>
  <sheetData>
    <row r="1" spans="1:6" ht="18" x14ac:dyDescent="0.2">
      <c r="A1" s="1" t="s">
        <v>0</v>
      </c>
      <c r="B1" s="2"/>
      <c r="C1" s="2"/>
    </row>
    <row r="2" spans="1:6" x14ac:dyDescent="0.2">
      <c r="A2" s="6"/>
      <c r="B2" s="6"/>
      <c r="C2" s="6"/>
      <c r="D2" s="6"/>
      <c r="E2" s="6"/>
      <c r="F2" s="6"/>
    </row>
    <row r="3" spans="1:6" x14ac:dyDescent="0.2">
      <c r="A3" s="3" t="s">
        <v>25</v>
      </c>
      <c r="B3" s="6"/>
      <c r="C3" s="6"/>
      <c r="D3" s="6"/>
      <c r="E3" s="6"/>
      <c r="F3" s="6"/>
    </row>
    <row r="4" spans="1:6" x14ac:dyDescent="0.2">
      <c r="A4" s="17" t="s">
        <v>1</v>
      </c>
      <c r="B4" s="17" t="s">
        <v>2</v>
      </c>
      <c r="C4" s="17" t="s">
        <v>3</v>
      </c>
      <c r="D4" s="6"/>
      <c r="E4" s="6"/>
      <c r="F4" s="6"/>
    </row>
    <row r="5" spans="1:6" x14ac:dyDescent="0.2">
      <c r="A5" s="13" t="s">
        <v>4</v>
      </c>
      <c r="B5" s="18">
        <v>12500000</v>
      </c>
      <c r="C5" s="13" t="s">
        <v>5</v>
      </c>
      <c r="D5" s="6"/>
      <c r="E5" s="6"/>
      <c r="F5" s="6"/>
    </row>
    <row r="6" spans="1:6" x14ac:dyDescent="0.2">
      <c r="A6" s="13" t="s">
        <v>6</v>
      </c>
      <c r="B6" s="19">
        <v>1.1480999999999999</v>
      </c>
      <c r="C6" s="13" t="s">
        <v>7</v>
      </c>
      <c r="D6" s="6"/>
      <c r="E6" s="6"/>
      <c r="F6" s="6"/>
    </row>
    <row r="7" spans="1:6" x14ac:dyDescent="0.2">
      <c r="A7" s="13" t="s">
        <v>8</v>
      </c>
      <c r="B7" s="19">
        <v>1.091</v>
      </c>
      <c r="C7" s="13" t="s">
        <v>9</v>
      </c>
      <c r="D7" s="6"/>
      <c r="E7" s="6"/>
      <c r="F7" s="6"/>
    </row>
    <row r="8" spans="1:6" x14ac:dyDescent="0.2">
      <c r="A8" s="13" t="s">
        <v>10</v>
      </c>
      <c r="B8" s="20">
        <v>3.6729999999999999E-2</v>
      </c>
      <c r="C8" s="13" t="s">
        <v>11</v>
      </c>
      <c r="D8" s="6"/>
      <c r="E8" s="6"/>
      <c r="F8" s="6"/>
    </row>
    <row r="9" spans="1:6" x14ac:dyDescent="0.2">
      <c r="A9" s="13" t="s">
        <v>12</v>
      </c>
      <c r="B9" s="20">
        <v>2.1299999999999999E-2</v>
      </c>
      <c r="C9" s="13" t="s">
        <v>13</v>
      </c>
      <c r="D9" s="6"/>
      <c r="E9" s="6"/>
      <c r="F9" s="6"/>
    </row>
    <row r="10" spans="1:6" x14ac:dyDescent="0.2">
      <c r="A10" s="13" t="s">
        <v>14</v>
      </c>
      <c r="B10" s="19">
        <v>1</v>
      </c>
      <c r="C10" s="13" t="s">
        <v>15</v>
      </c>
      <c r="D10" s="6"/>
      <c r="E10" s="6"/>
      <c r="F10" s="6"/>
    </row>
    <row r="11" spans="1:6" x14ac:dyDescent="0.2">
      <c r="A11" s="13" t="s">
        <v>16</v>
      </c>
      <c r="B11" s="19">
        <v>1.1480999999999999</v>
      </c>
      <c r="C11" s="13" t="s">
        <v>17</v>
      </c>
      <c r="D11" s="6"/>
      <c r="E11" s="6"/>
      <c r="F11" s="6"/>
    </row>
    <row r="12" spans="1:6" x14ac:dyDescent="0.2">
      <c r="A12" s="13" t="s">
        <v>18</v>
      </c>
      <c r="B12" s="19">
        <v>1.1480999999999999</v>
      </c>
      <c r="C12" s="13" t="s">
        <v>19</v>
      </c>
      <c r="D12" s="6"/>
      <c r="E12" s="6"/>
      <c r="F12" s="6"/>
    </row>
    <row r="13" spans="1:6" x14ac:dyDescent="0.2">
      <c r="A13" s="13" t="s">
        <v>20</v>
      </c>
      <c r="B13" s="19">
        <v>1.7000000000000001E-2</v>
      </c>
      <c r="C13" s="13" t="s">
        <v>21</v>
      </c>
      <c r="D13" s="6"/>
      <c r="E13" s="6"/>
      <c r="F13" s="6"/>
    </row>
    <row r="14" spans="1:6" x14ac:dyDescent="0.2">
      <c r="A14" s="13" t="s">
        <v>22</v>
      </c>
      <c r="B14" s="19">
        <v>2.1999999999999999E-2</v>
      </c>
      <c r="C14" s="13" t="s">
        <v>23</v>
      </c>
      <c r="D14" s="6"/>
      <c r="E14" s="6"/>
      <c r="F14" s="6"/>
    </row>
    <row r="15" spans="1:6" x14ac:dyDescent="0.2">
      <c r="A15" s="6"/>
      <c r="B15" s="6"/>
      <c r="C15" s="6"/>
      <c r="D15" s="6"/>
      <c r="E15" s="6"/>
      <c r="F15" s="6"/>
    </row>
    <row r="16" spans="1:6" x14ac:dyDescent="0.2">
      <c r="A16" s="3" t="s">
        <v>26</v>
      </c>
      <c r="B16" s="6"/>
      <c r="C16" s="6"/>
      <c r="D16" s="6"/>
      <c r="E16" s="6"/>
      <c r="F16" s="6"/>
    </row>
    <row r="17" spans="1:6" x14ac:dyDescent="0.2">
      <c r="A17" s="8" t="s">
        <v>30</v>
      </c>
      <c r="B17" s="9">
        <f>B5*B7</f>
        <v>13637500</v>
      </c>
      <c r="C17" s="6"/>
      <c r="D17" s="6"/>
      <c r="E17" s="6"/>
      <c r="F17" s="6"/>
    </row>
    <row r="18" spans="1:6" x14ac:dyDescent="0.2">
      <c r="A18" s="7"/>
      <c r="B18" s="6"/>
      <c r="C18" s="6"/>
      <c r="D18" s="6"/>
      <c r="E18" s="6"/>
      <c r="F18" s="6"/>
    </row>
    <row r="19" spans="1:6" x14ac:dyDescent="0.2">
      <c r="A19" s="3" t="s">
        <v>48</v>
      </c>
      <c r="B19" s="6"/>
      <c r="C19" s="6"/>
      <c r="D19" s="6"/>
      <c r="E19" s="6"/>
      <c r="F19" s="6"/>
    </row>
    <row r="20" spans="1:6" x14ac:dyDescent="0.2">
      <c r="A20" s="6" t="s">
        <v>31</v>
      </c>
      <c r="B20" s="6"/>
      <c r="C20" s="6"/>
      <c r="D20" s="6"/>
      <c r="E20" s="6"/>
      <c r="F20" s="6"/>
    </row>
    <row r="21" spans="1:6" x14ac:dyDescent="0.2">
      <c r="A21" s="6" t="s">
        <v>32</v>
      </c>
      <c r="B21" s="6"/>
      <c r="C21" s="6"/>
      <c r="D21" s="6"/>
      <c r="E21" s="6"/>
      <c r="F21" s="6"/>
    </row>
    <row r="22" spans="1:6" x14ac:dyDescent="0.2">
      <c r="A22" s="6" t="s">
        <v>33</v>
      </c>
      <c r="B22" s="6"/>
      <c r="C22" s="6"/>
      <c r="D22" s="6"/>
      <c r="E22" s="6"/>
      <c r="F22" s="6"/>
    </row>
    <row r="23" spans="1:6" x14ac:dyDescent="0.2">
      <c r="A23" s="6" t="s">
        <v>34</v>
      </c>
      <c r="B23" s="6"/>
      <c r="C23" s="6"/>
      <c r="D23" s="6"/>
      <c r="E23" s="6"/>
      <c r="F23" s="6"/>
    </row>
    <row r="24" spans="1:6" x14ac:dyDescent="0.2">
      <c r="A24" s="6"/>
      <c r="B24" s="10"/>
      <c r="C24" s="6"/>
      <c r="D24" s="6"/>
      <c r="E24" s="6"/>
      <c r="F24" s="6"/>
    </row>
    <row r="25" spans="1:6" x14ac:dyDescent="0.2">
      <c r="A25" s="5" t="s">
        <v>50</v>
      </c>
      <c r="B25" s="11">
        <f>B5/(1+B9)</f>
        <v>12239302.849309701</v>
      </c>
      <c r="C25" s="6"/>
      <c r="D25" s="6"/>
      <c r="E25" s="6"/>
      <c r="F25" s="6"/>
    </row>
    <row r="26" spans="1:6" x14ac:dyDescent="0.2">
      <c r="A26" s="5" t="s">
        <v>41</v>
      </c>
      <c r="B26" s="11">
        <f>B25*B6</f>
        <v>14051943.601292467</v>
      </c>
      <c r="C26" s="6"/>
      <c r="D26" s="6"/>
      <c r="E26" s="6"/>
      <c r="F26" s="6"/>
    </row>
    <row r="27" spans="1:6" x14ac:dyDescent="0.2">
      <c r="A27" s="5" t="s">
        <v>51</v>
      </c>
      <c r="B27" s="11">
        <f>B26*(1+B8*B10)</f>
        <v>14568071.489767939</v>
      </c>
      <c r="C27" s="6"/>
      <c r="D27" s="6"/>
      <c r="E27" s="6"/>
      <c r="F27" s="6"/>
    </row>
    <row r="28" spans="1:6" x14ac:dyDescent="0.2">
      <c r="A28" s="6"/>
      <c r="B28" s="6"/>
      <c r="C28" s="6"/>
      <c r="D28" s="6"/>
      <c r="E28" s="6"/>
      <c r="F28" s="6"/>
    </row>
    <row r="29" spans="1:6" x14ac:dyDescent="0.2">
      <c r="A29" s="6" t="s">
        <v>52</v>
      </c>
      <c r="B29" s="6"/>
      <c r="C29" s="6"/>
      <c r="D29" s="6"/>
      <c r="E29" s="6"/>
      <c r="F29" s="6"/>
    </row>
    <row r="30" spans="1:6" x14ac:dyDescent="0.2">
      <c r="A30" s="6" t="s">
        <v>53</v>
      </c>
      <c r="B30" s="6">
        <f>B6*((1+B8)/(1+B9))</f>
        <v>1.1654457191814351</v>
      </c>
      <c r="C30" s="6"/>
      <c r="D30" s="6"/>
      <c r="E30" s="6"/>
      <c r="F30" s="6"/>
    </row>
    <row r="31" spans="1:6" x14ac:dyDescent="0.2">
      <c r="A31" s="6" t="s">
        <v>54</v>
      </c>
      <c r="B31" s="6">
        <f>B7</f>
        <v>1.091</v>
      </c>
      <c r="C31" s="6"/>
      <c r="D31" s="6"/>
      <c r="E31" s="6"/>
      <c r="F31" s="6"/>
    </row>
    <row r="32" spans="1:6" x14ac:dyDescent="0.2">
      <c r="A32" s="6" t="s">
        <v>55</v>
      </c>
      <c r="B32" s="6">
        <f>B30-B31</f>
        <v>7.4445719181435166E-2</v>
      </c>
      <c r="C32" s="6"/>
      <c r="D32" s="6"/>
      <c r="E32" s="6"/>
      <c r="F32" s="6"/>
    </row>
    <row r="33" spans="1:6" x14ac:dyDescent="0.2">
      <c r="A33" s="6"/>
      <c r="B33" s="6"/>
      <c r="C33" s="6"/>
      <c r="D33" s="6"/>
      <c r="E33" s="6"/>
      <c r="F33" s="6"/>
    </row>
    <row r="34" spans="1:6" x14ac:dyDescent="0.2">
      <c r="A34" s="6" t="s">
        <v>56</v>
      </c>
      <c r="B34" s="10">
        <f>B27-B17</f>
        <v>930571.48976793885</v>
      </c>
      <c r="C34" s="6"/>
      <c r="D34" s="6"/>
      <c r="E34" s="6"/>
      <c r="F34" s="6"/>
    </row>
    <row r="35" spans="1:6" x14ac:dyDescent="0.2">
      <c r="A35" s="6"/>
      <c r="B35" s="6"/>
      <c r="C35" s="6"/>
      <c r="D35" s="6"/>
      <c r="E35" s="6"/>
      <c r="F35" s="6"/>
    </row>
    <row r="36" spans="1:6" x14ac:dyDescent="0.2">
      <c r="A36" s="3" t="s">
        <v>27</v>
      </c>
      <c r="B36" s="6"/>
      <c r="C36" s="6"/>
      <c r="D36" s="6"/>
      <c r="E36" s="6"/>
      <c r="F36" s="6"/>
    </row>
    <row r="37" spans="1:6" x14ac:dyDescent="0.2">
      <c r="A37" s="3"/>
      <c r="B37" s="6"/>
      <c r="C37" s="6"/>
      <c r="D37" s="6"/>
      <c r="E37" s="6"/>
      <c r="F37" s="6"/>
    </row>
    <row r="38" spans="1:6" x14ac:dyDescent="0.2">
      <c r="A38" s="3" t="s">
        <v>35</v>
      </c>
      <c r="B38" s="10"/>
      <c r="C38" s="6"/>
      <c r="D38" s="6"/>
      <c r="E38" s="6"/>
      <c r="F38" s="6"/>
    </row>
    <row r="39" spans="1:6" x14ac:dyDescent="0.2">
      <c r="A39" s="6" t="s">
        <v>57</v>
      </c>
      <c r="B39" s="10">
        <f>B5*B13</f>
        <v>212500.00000000003</v>
      </c>
      <c r="C39" s="6"/>
      <c r="D39" s="6"/>
      <c r="E39" s="6"/>
      <c r="F39" s="6"/>
    </row>
    <row r="40" spans="1:6" x14ac:dyDescent="0.2">
      <c r="A40" s="6" t="s">
        <v>59</v>
      </c>
      <c r="B40" s="10">
        <f>B39*B6</f>
        <v>243971.25</v>
      </c>
      <c r="C40" s="6"/>
      <c r="D40" s="6"/>
      <c r="E40" s="6"/>
      <c r="F40" s="6"/>
    </row>
    <row r="41" spans="1:6" x14ac:dyDescent="0.2">
      <c r="A41" s="6" t="s">
        <v>60</v>
      </c>
      <c r="B41" s="10">
        <f>B5*MAX(B6,B11)-B40</f>
        <v>14107278.749999998</v>
      </c>
      <c r="C41" s="6"/>
      <c r="D41" s="6"/>
      <c r="E41" s="6"/>
      <c r="F41" s="6"/>
    </row>
    <row r="42" spans="1:6" x14ac:dyDescent="0.2">
      <c r="A42" s="6"/>
      <c r="B42" s="10"/>
      <c r="C42" s="6"/>
      <c r="D42" s="6"/>
      <c r="E42" s="6"/>
      <c r="F42" s="6"/>
    </row>
    <row r="43" spans="1:6" x14ac:dyDescent="0.2">
      <c r="A43" s="3" t="s">
        <v>36</v>
      </c>
      <c r="B43" s="10"/>
      <c r="C43" s="6"/>
      <c r="D43" s="6"/>
      <c r="E43" s="6"/>
      <c r="F43" s="6"/>
    </row>
    <row r="44" spans="1:6" x14ac:dyDescent="0.2">
      <c r="A44" s="6" t="s">
        <v>58</v>
      </c>
      <c r="B44" s="10">
        <f>B5*B14</f>
        <v>275000</v>
      </c>
      <c r="C44" s="6"/>
      <c r="D44" s="6"/>
      <c r="E44" s="6"/>
      <c r="F44" s="6"/>
    </row>
    <row r="45" spans="1:6" x14ac:dyDescent="0.2">
      <c r="A45" s="6" t="s">
        <v>59</v>
      </c>
      <c r="B45" s="10">
        <f>B44*B6</f>
        <v>315727.5</v>
      </c>
      <c r="C45" s="6"/>
      <c r="D45" s="6"/>
      <c r="E45" s="6"/>
      <c r="F45" s="6"/>
    </row>
    <row r="46" spans="1:6" x14ac:dyDescent="0.2">
      <c r="A46" s="6" t="s">
        <v>61</v>
      </c>
      <c r="B46" s="10">
        <f>B5*MAX(B6,B12)-B45</f>
        <v>14035522.499999998</v>
      </c>
      <c r="C46" s="6"/>
      <c r="D46" s="6"/>
      <c r="E46" s="6"/>
      <c r="F46" s="6"/>
    </row>
    <row r="47" spans="1:6" x14ac:dyDescent="0.2">
      <c r="A47" s="6"/>
      <c r="B47" s="10"/>
      <c r="C47" s="6"/>
      <c r="D47" s="6"/>
      <c r="E47" s="6"/>
      <c r="F47" s="6"/>
    </row>
    <row r="48" spans="1:6" x14ac:dyDescent="0.2">
      <c r="A48" s="6" t="s">
        <v>63</v>
      </c>
      <c r="B48" s="10">
        <f>B39+B44</f>
        <v>487500</v>
      </c>
      <c r="C48" s="6"/>
      <c r="D48" s="6"/>
      <c r="E48" s="6"/>
      <c r="F48" s="6"/>
    </row>
    <row r="49" spans="1:6" x14ac:dyDescent="0.2">
      <c r="A49" s="6" t="s">
        <v>64</v>
      </c>
      <c r="B49" s="10">
        <f>B40+B45</f>
        <v>559698.75</v>
      </c>
      <c r="C49" s="6"/>
      <c r="D49" s="6"/>
      <c r="E49" s="6"/>
      <c r="F49" s="6"/>
    </row>
    <row r="50" spans="1:6" x14ac:dyDescent="0.2">
      <c r="A50" s="6"/>
      <c r="B50" s="6"/>
      <c r="C50" s="6"/>
      <c r="D50" s="6"/>
      <c r="E50" s="6"/>
      <c r="F50" s="6"/>
    </row>
    <row r="51" spans="1:6" x14ac:dyDescent="0.2">
      <c r="A51" s="3" t="s">
        <v>28</v>
      </c>
      <c r="B51" s="6"/>
      <c r="C51" s="6"/>
      <c r="D51" s="6"/>
      <c r="E51" s="6"/>
      <c r="F51" s="6"/>
    </row>
    <row r="52" spans="1:6" x14ac:dyDescent="0.2">
      <c r="A52" s="14" t="s">
        <v>42</v>
      </c>
      <c r="B52" s="14" t="s">
        <v>43</v>
      </c>
      <c r="C52" s="14" t="s">
        <v>44</v>
      </c>
      <c r="D52" s="14" t="s">
        <v>45</v>
      </c>
      <c r="E52" s="14" t="s">
        <v>46</v>
      </c>
      <c r="F52" s="14" t="s">
        <v>47</v>
      </c>
    </row>
    <row r="53" spans="1:6" x14ac:dyDescent="0.2">
      <c r="A53" s="13">
        <f>0.95*$B$6</f>
        <v>1.0906949999999997</v>
      </c>
      <c r="B53" s="15">
        <f>A53*$B$5</f>
        <v>13633687.499999996</v>
      </c>
      <c r="C53" s="15">
        <f>$B$17</f>
        <v>13637500</v>
      </c>
      <c r="D53" s="15">
        <f>$B$27</f>
        <v>14568071.489767939</v>
      </c>
      <c r="E53" s="15">
        <f t="shared" ref="E53:E63" si="0">A53*$B$5 + MAX($B$11-A53,0)*$B$5 - $B$40</f>
        <v>14107278.749999998</v>
      </c>
      <c r="F53" s="15">
        <f>A53*$B$5 + MAX(A53-$B$12,0)*$B$5 - $B$45</f>
        <v>13317959.999999996</v>
      </c>
    </row>
    <row r="54" spans="1:6" x14ac:dyDescent="0.2">
      <c r="A54" s="13">
        <f>A53+0.01*$B$6</f>
        <v>1.1021759999999998</v>
      </c>
      <c r="B54" s="15">
        <f t="shared" ref="B54:B63" si="1">A54*$B$5</f>
        <v>13777199.999999998</v>
      </c>
      <c r="C54" s="15">
        <f t="shared" ref="C54:C63" si="2">$B$17</f>
        <v>13637500</v>
      </c>
      <c r="D54" s="15">
        <f t="shared" ref="D54:D63" si="3">$B$27</f>
        <v>14568071.489767939</v>
      </c>
      <c r="E54" s="15">
        <f t="shared" si="0"/>
        <v>14107278.75</v>
      </c>
      <c r="F54" s="15">
        <f>A54*$B$5 + MAX(A54-$B$12,0)*$B$5 - $B$45</f>
        <v>13461472.499999998</v>
      </c>
    </row>
    <row r="55" spans="1:6" x14ac:dyDescent="0.2">
      <c r="A55" s="13">
        <f t="shared" ref="A55:A63" si="4">A54+0.01*$B$6</f>
        <v>1.1136569999999999</v>
      </c>
      <c r="B55" s="15">
        <f t="shared" si="1"/>
        <v>13920712.499999998</v>
      </c>
      <c r="C55" s="15">
        <f t="shared" si="2"/>
        <v>13637500</v>
      </c>
      <c r="D55" s="15">
        <f t="shared" si="3"/>
        <v>14568071.489767939</v>
      </c>
      <c r="E55" s="15">
        <f t="shared" si="0"/>
        <v>14107278.749999998</v>
      </c>
      <c r="F55" s="15">
        <f>A55*$B$5 + MAX(A55-$B$12,0)*$B$5 - $B$45</f>
        <v>13604984.999999998</v>
      </c>
    </row>
    <row r="56" spans="1:6" x14ac:dyDescent="0.2">
      <c r="A56" s="13">
        <f t="shared" si="4"/>
        <v>1.125138</v>
      </c>
      <c r="B56" s="15">
        <f t="shared" si="1"/>
        <v>14064225</v>
      </c>
      <c r="C56" s="15">
        <f t="shared" si="2"/>
        <v>13637500</v>
      </c>
      <c r="D56" s="15">
        <f t="shared" si="3"/>
        <v>14568071.489767939</v>
      </c>
      <c r="E56" s="15">
        <f t="shared" si="0"/>
        <v>14107278.75</v>
      </c>
      <c r="F56" s="15">
        <f>A56*$B$5 + MAX(A56-$B$12,0)*$B$5 - $B$45</f>
        <v>13748497.5</v>
      </c>
    </row>
    <row r="57" spans="1:6" x14ac:dyDescent="0.2">
      <c r="A57" s="13">
        <f t="shared" si="4"/>
        <v>1.136619</v>
      </c>
      <c r="B57" s="15">
        <f t="shared" si="1"/>
        <v>14207737.5</v>
      </c>
      <c r="C57" s="15">
        <f t="shared" si="2"/>
        <v>13637500</v>
      </c>
      <c r="D57" s="15">
        <f t="shared" si="3"/>
        <v>14568071.489767939</v>
      </c>
      <c r="E57" s="15">
        <f t="shared" si="0"/>
        <v>14107278.749999998</v>
      </c>
      <c r="F57" s="15">
        <f>A57*$B$5 + MAX(A57-$B$12,0)*$B$5 - $B$45</f>
        <v>13892010</v>
      </c>
    </row>
    <row r="58" spans="1:6" x14ac:dyDescent="0.2">
      <c r="A58" s="13">
        <f t="shared" si="4"/>
        <v>1.1481000000000001</v>
      </c>
      <c r="B58" s="15">
        <f t="shared" si="1"/>
        <v>14351250.000000002</v>
      </c>
      <c r="C58" s="15">
        <f t="shared" si="2"/>
        <v>13637500</v>
      </c>
      <c r="D58" s="15">
        <f t="shared" si="3"/>
        <v>14568071.489767939</v>
      </c>
      <c r="E58" s="15">
        <f t="shared" si="0"/>
        <v>14107278.750000002</v>
      </c>
      <c r="F58" s="15">
        <f>A58*$B$5 + MAX(A58-$B$12,0)*$B$5 - $B$45</f>
        <v>14035522.500000004</v>
      </c>
    </row>
    <row r="59" spans="1:6" x14ac:dyDescent="0.2">
      <c r="A59" s="13">
        <f t="shared" si="4"/>
        <v>1.1595810000000002</v>
      </c>
      <c r="B59" s="15">
        <f t="shared" si="1"/>
        <v>14494762.500000002</v>
      </c>
      <c r="C59" s="15">
        <f t="shared" si="2"/>
        <v>13637500</v>
      </c>
      <c r="D59" s="15">
        <f t="shared" si="3"/>
        <v>14568071.489767939</v>
      </c>
      <c r="E59" s="15">
        <f t="shared" si="0"/>
        <v>14250791.250000002</v>
      </c>
      <c r="F59" s="15">
        <f>A59*$B$5 + MAX(A59-$B$12,0)*$B$5 - $B$45</f>
        <v>14322547.500000006</v>
      </c>
    </row>
    <row r="60" spans="1:6" x14ac:dyDescent="0.2">
      <c r="A60" s="13">
        <f t="shared" si="4"/>
        <v>1.1710620000000003</v>
      </c>
      <c r="B60" s="15">
        <f t="shared" si="1"/>
        <v>14638275.000000004</v>
      </c>
      <c r="C60" s="15">
        <f t="shared" si="2"/>
        <v>13637500</v>
      </c>
      <c r="D60" s="15">
        <f t="shared" si="3"/>
        <v>14568071.489767939</v>
      </c>
      <c r="E60" s="15">
        <f t="shared" si="0"/>
        <v>14394303.750000004</v>
      </c>
      <c r="F60" s="15">
        <f>A60*$B$5 + MAX(A60-$B$12,0)*$B$5 - $B$45</f>
        <v>14609572.500000007</v>
      </c>
    </row>
    <row r="61" spans="1:6" x14ac:dyDescent="0.2">
      <c r="A61" s="13">
        <f t="shared" si="4"/>
        <v>1.1825430000000003</v>
      </c>
      <c r="B61" s="15">
        <f t="shared" si="1"/>
        <v>14781787.500000004</v>
      </c>
      <c r="C61" s="15">
        <f t="shared" si="2"/>
        <v>13637500</v>
      </c>
      <c r="D61" s="15">
        <f t="shared" si="3"/>
        <v>14568071.489767939</v>
      </c>
      <c r="E61" s="15">
        <f t="shared" si="0"/>
        <v>14537816.250000004</v>
      </c>
      <c r="F61" s="15">
        <f>A61*$B$5 + MAX(A61-$B$12,0)*$B$5 - $B$45</f>
        <v>14896597.500000009</v>
      </c>
    </row>
    <row r="62" spans="1:6" x14ac:dyDescent="0.2">
      <c r="A62" s="13">
        <f t="shared" si="4"/>
        <v>1.1940240000000004</v>
      </c>
      <c r="B62" s="15">
        <f t="shared" si="1"/>
        <v>14925300.000000006</v>
      </c>
      <c r="C62" s="15">
        <f t="shared" si="2"/>
        <v>13637500</v>
      </c>
      <c r="D62" s="15">
        <f t="shared" si="3"/>
        <v>14568071.489767939</v>
      </c>
      <c r="E62" s="15">
        <f t="shared" si="0"/>
        <v>14681328.750000006</v>
      </c>
      <c r="F62" s="15">
        <f>A62*$B$5 + MAX(A62-$B$12,0)*$B$5 - $B$45</f>
        <v>15183622.500000011</v>
      </c>
    </row>
    <row r="63" spans="1:6" x14ac:dyDescent="0.2">
      <c r="A63" s="13">
        <f t="shared" si="4"/>
        <v>1.2055050000000005</v>
      </c>
      <c r="B63" s="15">
        <f t="shared" si="1"/>
        <v>15068812.500000006</v>
      </c>
      <c r="C63" s="15">
        <f t="shared" si="2"/>
        <v>13637500</v>
      </c>
      <c r="D63" s="15">
        <f t="shared" si="3"/>
        <v>14568071.489767939</v>
      </c>
      <c r="E63" s="15">
        <f t="shared" si="0"/>
        <v>14824841.250000006</v>
      </c>
      <c r="F63" s="15">
        <f>A63*$B$5 + MAX(A63-$B$12,0)*$B$5 - $B$45</f>
        <v>15470647.500000013</v>
      </c>
    </row>
    <row r="64" spans="1:6" x14ac:dyDescent="0.2">
      <c r="A64" s="6"/>
      <c r="B64" s="6"/>
      <c r="C64" s="6"/>
      <c r="D64" s="6"/>
      <c r="E64" s="6"/>
      <c r="F64" s="6"/>
    </row>
    <row r="65" spans="1:6" x14ac:dyDescent="0.2">
      <c r="A65" s="6"/>
      <c r="B65" s="6"/>
      <c r="C65" s="6"/>
      <c r="D65" s="6"/>
      <c r="E65" s="6"/>
      <c r="F65" s="6"/>
    </row>
    <row r="66" spans="1:6" x14ac:dyDescent="0.2">
      <c r="A66" s="6"/>
      <c r="B66" s="6"/>
      <c r="C66" s="6"/>
      <c r="D66" s="6"/>
      <c r="E66" s="6"/>
      <c r="F66" s="6"/>
    </row>
    <row r="67" spans="1:6" x14ac:dyDescent="0.2">
      <c r="A67" s="6"/>
      <c r="B67" s="6"/>
      <c r="C67" s="6"/>
      <c r="D67" s="6"/>
      <c r="E67" s="6"/>
      <c r="F67" s="6"/>
    </row>
    <row r="68" spans="1:6" x14ac:dyDescent="0.2">
      <c r="A68" s="6"/>
      <c r="B68" s="6"/>
      <c r="C68" s="6"/>
      <c r="D68" s="6"/>
      <c r="E68" s="6"/>
      <c r="F68" s="6"/>
    </row>
    <row r="69" spans="1:6" x14ac:dyDescent="0.2">
      <c r="A69" s="6"/>
      <c r="B69" s="6"/>
      <c r="C69" s="6"/>
      <c r="D69" s="6"/>
      <c r="E69" s="6"/>
      <c r="F69" s="6"/>
    </row>
    <row r="70" spans="1:6" x14ac:dyDescent="0.2">
      <c r="A70" s="6"/>
      <c r="B70" s="6"/>
      <c r="C70" s="6"/>
      <c r="D70" s="6"/>
      <c r="E70" s="6"/>
      <c r="F70" s="6"/>
    </row>
    <row r="71" spans="1:6" x14ac:dyDescent="0.2">
      <c r="A71" s="6"/>
      <c r="B71" s="6"/>
      <c r="C71" s="6"/>
      <c r="D71" s="6"/>
      <c r="E71" s="6"/>
      <c r="F71" s="6"/>
    </row>
    <row r="72" spans="1:6" x14ac:dyDescent="0.2">
      <c r="A72" s="6"/>
      <c r="B72" s="6"/>
      <c r="C72" s="6"/>
      <c r="D72" s="6"/>
      <c r="E72" s="6"/>
      <c r="F72" s="6"/>
    </row>
    <row r="73" spans="1:6" x14ac:dyDescent="0.2">
      <c r="A73" s="6"/>
      <c r="B73" s="6"/>
      <c r="C73" s="6"/>
      <c r="D73" s="6"/>
      <c r="E73" s="6"/>
      <c r="F73" s="6"/>
    </row>
    <row r="74" spans="1:6" x14ac:dyDescent="0.2">
      <c r="A74" s="6"/>
      <c r="B74" s="6"/>
      <c r="C74" s="6"/>
      <c r="D74" s="6"/>
      <c r="E74" s="6"/>
      <c r="F74" s="6"/>
    </row>
    <row r="75" spans="1:6" x14ac:dyDescent="0.2">
      <c r="A75" s="6"/>
      <c r="B75" s="6"/>
      <c r="C75" s="6"/>
      <c r="D75" s="6"/>
      <c r="E75" s="6"/>
      <c r="F75" s="6"/>
    </row>
    <row r="76" spans="1:6" x14ac:dyDescent="0.2">
      <c r="A76" s="6"/>
      <c r="B76" s="6"/>
      <c r="C76" s="6"/>
      <c r="D76" s="6"/>
      <c r="E76" s="6"/>
      <c r="F76" s="6"/>
    </row>
    <row r="77" spans="1:6" x14ac:dyDescent="0.2">
      <c r="A77" s="6"/>
      <c r="B77" s="6"/>
      <c r="C77" s="6"/>
      <c r="D77" s="6"/>
      <c r="E77" s="6"/>
      <c r="F77" s="6"/>
    </row>
    <row r="78" spans="1:6" x14ac:dyDescent="0.2">
      <c r="A78" s="6"/>
      <c r="B78" s="6"/>
      <c r="C78" s="6"/>
      <c r="D78" s="6"/>
      <c r="E78" s="6"/>
      <c r="F78" s="6"/>
    </row>
    <row r="79" spans="1:6" x14ac:dyDescent="0.2">
      <c r="A79" s="6"/>
      <c r="B79" s="6"/>
      <c r="C79" s="6"/>
      <c r="D79" s="6"/>
      <c r="E79" s="6"/>
      <c r="F79" s="6"/>
    </row>
    <row r="80" spans="1:6" x14ac:dyDescent="0.2">
      <c r="A80" s="3"/>
      <c r="B80" s="6"/>
      <c r="C80" s="6"/>
      <c r="D80" s="6"/>
      <c r="E80" s="6"/>
      <c r="F80" s="6"/>
    </row>
    <row r="81" spans="1:6" x14ac:dyDescent="0.2">
      <c r="A81" s="3"/>
      <c r="B81" s="6"/>
      <c r="C81" s="6"/>
      <c r="D81" s="6"/>
      <c r="E81" s="6"/>
      <c r="F81" s="6"/>
    </row>
    <row r="82" spans="1:6" x14ac:dyDescent="0.2">
      <c r="A82" s="5"/>
      <c r="B82" s="6"/>
      <c r="C82" s="6"/>
      <c r="D82" s="6"/>
      <c r="E82" s="6"/>
      <c r="F82" s="6"/>
    </row>
    <row r="83" spans="1:6" x14ac:dyDescent="0.2">
      <c r="A83" s="3" t="s">
        <v>29</v>
      </c>
      <c r="B83" s="6"/>
      <c r="C83" s="6"/>
      <c r="D83" s="6"/>
      <c r="E83" s="6"/>
      <c r="F83" s="6"/>
    </row>
    <row r="84" spans="1:6" x14ac:dyDescent="0.2">
      <c r="A84" s="12" t="s">
        <v>37</v>
      </c>
      <c r="B84" s="10">
        <f>B17</f>
        <v>13637500</v>
      </c>
      <c r="C84" s="6"/>
      <c r="D84" s="6"/>
      <c r="E84" s="6"/>
      <c r="F84" s="6"/>
    </row>
    <row r="85" spans="1:6" x14ac:dyDescent="0.2">
      <c r="A85" s="12" t="s">
        <v>38</v>
      </c>
      <c r="B85" s="10">
        <f>B27</f>
        <v>14568071.489767939</v>
      </c>
      <c r="C85" s="6"/>
      <c r="D85" s="6"/>
      <c r="E85" s="6"/>
      <c r="F85" s="6"/>
    </row>
    <row r="86" spans="1:6" ht="85" x14ac:dyDescent="0.2">
      <c r="A86" s="12" t="s">
        <v>39</v>
      </c>
      <c r="B86" s="16" t="s">
        <v>49</v>
      </c>
      <c r="C86" s="6"/>
      <c r="D86" s="6"/>
      <c r="E86" s="6"/>
      <c r="F86" s="6"/>
    </row>
    <row r="87" spans="1:6" ht="238" x14ac:dyDescent="0.2">
      <c r="A87" s="12" t="s">
        <v>40</v>
      </c>
      <c r="B87" s="16" t="s">
        <v>62</v>
      </c>
      <c r="C87" s="6"/>
      <c r="D87" s="6"/>
      <c r="E87" s="6"/>
      <c r="F87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3A39-94F0-E943-9090-A6F335A3D5AE}">
  <dimension ref="A1:I18"/>
  <sheetViews>
    <sheetView workbookViewId="0">
      <selection activeCell="A14" sqref="A14"/>
    </sheetView>
  </sheetViews>
  <sheetFormatPr baseColWidth="10" defaultRowHeight="16" x14ac:dyDescent="0.2"/>
  <cols>
    <col min="1" max="1" width="82.5" customWidth="1"/>
  </cols>
  <sheetData>
    <row r="1" spans="1:9" x14ac:dyDescent="0.2">
      <c r="A1" s="4" t="s">
        <v>24</v>
      </c>
      <c r="B1" s="2"/>
      <c r="C1" s="2"/>
      <c r="D1" s="2"/>
      <c r="E1" s="2"/>
      <c r="F1" s="2"/>
      <c r="G1" s="2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6" t="s">
        <v>68</v>
      </c>
      <c r="B3" s="2"/>
      <c r="C3" s="2"/>
      <c r="D3" s="2"/>
      <c r="E3" s="2"/>
      <c r="F3" s="2"/>
    </row>
    <row r="4" spans="1:9" x14ac:dyDescent="0.2">
      <c r="A4" s="6" t="s">
        <v>69</v>
      </c>
      <c r="B4" s="2"/>
      <c r="C4" s="2"/>
      <c r="D4" s="2"/>
    </row>
    <row r="5" spans="1:9" x14ac:dyDescent="0.2">
      <c r="A5" s="6" t="s">
        <v>65</v>
      </c>
      <c r="B5" s="2"/>
      <c r="C5" s="2"/>
      <c r="D5" s="2"/>
    </row>
    <row r="6" spans="1:9" x14ac:dyDescent="0.2">
      <c r="A6" s="6" t="s">
        <v>70</v>
      </c>
    </row>
    <row r="7" spans="1:9" x14ac:dyDescent="0.2">
      <c r="A7" s="6" t="s">
        <v>71</v>
      </c>
    </row>
    <row r="8" spans="1:9" x14ac:dyDescent="0.2">
      <c r="A8" s="6" t="s">
        <v>72</v>
      </c>
      <c r="B8" s="2"/>
      <c r="C8" s="2"/>
      <c r="D8" s="2"/>
    </row>
    <row r="9" spans="1:9" x14ac:dyDescent="0.2">
      <c r="A9" s="6" t="s">
        <v>73</v>
      </c>
    </row>
    <row r="10" spans="1:9" x14ac:dyDescent="0.2">
      <c r="A10" s="6" t="s">
        <v>66</v>
      </c>
    </row>
    <row r="11" spans="1:9" x14ac:dyDescent="0.2">
      <c r="A11" s="6" t="s">
        <v>74</v>
      </c>
    </row>
    <row r="12" spans="1:9" ht="51" x14ac:dyDescent="0.2">
      <c r="A12" s="16" t="s">
        <v>67</v>
      </c>
    </row>
    <row r="13" spans="1:9" x14ac:dyDescent="0.2">
      <c r="A13" s="21"/>
    </row>
    <row r="18" spans="1:1" x14ac:dyDescent="0.2">
      <c r="A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Micayla Ban</dc:creator>
  <cp:lastModifiedBy>Micayla Ban</cp:lastModifiedBy>
  <dcterms:created xsi:type="dcterms:W3CDTF">2025-11-18T23:48:15Z</dcterms:created>
  <dcterms:modified xsi:type="dcterms:W3CDTF">2025-11-20T20:37:31Z</dcterms:modified>
</cp:coreProperties>
</file>