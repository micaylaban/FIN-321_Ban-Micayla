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icaylaban/Downloads/"/>
    </mc:Choice>
  </mc:AlternateContent>
  <xr:revisionPtr revIDLastSave="0" documentId="13_ncr:1_{63AFB4DA-A1F2-0946-B729-4F2191AFEA32}" xr6:coauthVersionLast="47" xr6:coauthVersionMax="47" xr10:uidLastSave="{00000000-0000-0000-0000-000000000000}"/>
  <bookViews>
    <workbookView xWindow="12280" yWindow="500" windowWidth="16520" windowHeight="16620" xr2:uid="{00000000-000D-0000-FFFF-FFFF00000000}"/>
  </bookViews>
  <sheets>
    <sheet name="Model" sheetId="1" r:id="rId1"/>
  </sheets>
  <definedNames>
    <definedName name="CIP_forward">Model!$B$24</definedName>
    <definedName name="Difference">Model!$B$25</definedName>
    <definedName name="F0">Model!$B$6</definedName>
    <definedName name="FC_AMT">Model!$B$4</definedName>
    <definedName name="K_call">Model!$B$10</definedName>
    <definedName name="K_put">Model!$B$9</definedName>
    <definedName name="Premium_call">Model!$B$12</definedName>
    <definedName name="Premium_call_EUR">Model!$B$31</definedName>
    <definedName name="Premium_call_USD">Model!$B$32</definedName>
    <definedName name="Premium_put">Model!$B$11</definedName>
    <definedName name="Premium_put_EUR">Model!$B$29</definedName>
    <definedName name="Premium_put_USD">Model!$B$30</definedName>
    <definedName name="Proceeds_diff">Model!$B$26</definedName>
    <definedName name="PV_EUR">Model!$B$19</definedName>
    <definedName name="r_EUR">Model!$B$8</definedName>
    <definedName name="r_USD">Model!$B$7</definedName>
    <definedName name="S0">Model!$B$5</definedName>
    <definedName name="t">Model!$B$13</definedName>
    <definedName name="USD_call">Model!$B$36</definedName>
    <definedName name="USD_current">Model!$B$20</definedName>
    <definedName name="USD_forward">Model!$B$16</definedName>
    <definedName name="USD_mm">Model!$B$21</definedName>
    <definedName name="USD_put">Model!$B$35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1" l="1"/>
  <c r="B52" i="1" s="1"/>
  <c r="B37" i="1"/>
  <c r="B42" i="1" s="1"/>
  <c r="C42" i="1" s="1"/>
  <c r="B31" i="1"/>
  <c r="B32" i="1" s="1"/>
  <c r="B36" i="1" s="1"/>
  <c r="B46" i="1" s="1"/>
  <c r="B29" i="1"/>
  <c r="B30" i="1" s="1"/>
  <c r="B35" i="1" s="1"/>
  <c r="B45" i="1" s="1"/>
  <c r="B24" i="1"/>
  <c r="B25" i="1" s="1"/>
  <c r="F43" i="1" s="1"/>
  <c r="B19" i="1"/>
  <c r="B20" i="1" s="1"/>
  <c r="B21" i="1" s="1"/>
  <c r="B16" i="1"/>
  <c r="C61" i="1" s="1"/>
  <c r="D61" i="1" l="1"/>
  <c r="D57" i="1"/>
  <c r="D53" i="1"/>
  <c r="D62" i="1"/>
  <c r="D58" i="1"/>
  <c r="D54" i="1"/>
  <c r="D59" i="1"/>
  <c r="D55" i="1"/>
  <c r="B26" i="1"/>
  <c r="F42" i="1" s="1"/>
  <c r="D60" i="1"/>
  <c r="D56" i="1"/>
  <c r="D52" i="1"/>
  <c r="B44" i="1"/>
  <c r="C44" i="1" s="1"/>
  <c r="C45" i="1"/>
  <c r="C46" i="1"/>
  <c r="C52" i="1"/>
  <c r="C56" i="1"/>
  <c r="C60" i="1"/>
  <c r="E52" i="1"/>
  <c r="C55" i="1"/>
  <c r="C59" i="1"/>
  <c r="F52" i="1"/>
  <c r="A53" i="1"/>
  <c r="C54" i="1"/>
  <c r="C58" i="1"/>
  <c r="C62" i="1"/>
  <c r="B43" i="1"/>
  <c r="C43" i="1" s="1"/>
  <c r="C53" i="1"/>
  <c r="C57" i="1"/>
  <c r="B53" i="1" l="1"/>
  <c r="A54" i="1"/>
  <c r="F53" i="1"/>
  <c r="E53" i="1"/>
  <c r="F54" i="1" l="1"/>
  <c r="E54" i="1"/>
  <c r="B54" i="1"/>
  <c r="A55" i="1"/>
  <c r="A56" i="1" l="1"/>
  <c r="F55" i="1"/>
  <c r="E55" i="1"/>
  <c r="B55" i="1"/>
  <c r="B56" i="1" l="1"/>
  <c r="A57" i="1"/>
  <c r="F56" i="1"/>
  <c r="E56" i="1"/>
  <c r="B57" i="1" l="1"/>
  <c r="A58" i="1"/>
  <c r="F57" i="1"/>
  <c r="E57" i="1"/>
  <c r="F58" i="1" l="1"/>
  <c r="E58" i="1"/>
  <c r="B58" i="1"/>
  <c r="A59" i="1"/>
  <c r="A60" i="1" l="1"/>
  <c r="F59" i="1"/>
  <c r="E59" i="1"/>
  <c r="B59" i="1"/>
  <c r="B60" i="1" l="1"/>
  <c r="A61" i="1"/>
  <c r="F60" i="1"/>
  <c r="E60" i="1"/>
  <c r="B61" i="1" l="1"/>
  <c r="A62" i="1"/>
  <c r="F61" i="1"/>
  <c r="E61" i="1"/>
  <c r="F62" i="1" l="1"/>
  <c r="E62" i="1"/>
  <c r="B62" i="1"/>
</calcChain>
</file>

<file path=xl/sharedStrings.xml><?xml version="1.0" encoding="utf-8"?>
<sst xmlns="http://schemas.openxmlformats.org/spreadsheetml/2006/main" count="92" uniqueCount="92">
  <si>
    <t>EUR Hedging Model – Stage 4</t>
  </si>
  <si>
    <t>Inputs &amp; Assumptions</t>
  </si>
  <si>
    <t>Formula Audit Table</t>
  </si>
  <si>
    <t>FC_AMT (EUR receivable)</t>
  </si>
  <si>
    <t>Cell</t>
  </si>
  <si>
    <t>Name</t>
  </si>
  <si>
    <t>Formula</t>
  </si>
  <si>
    <t>Spot rate S0 (USD/EUR)</t>
  </si>
  <si>
    <t>B16</t>
  </si>
  <si>
    <t>USD_forward</t>
  </si>
  <si>
    <t>'=FC_AMT*F0</t>
  </si>
  <si>
    <t>Forward rate F0 (USD/EUR)</t>
  </si>
  <si>
    <t>B19</t>
  </si>
  <si>
    <t>PV_EUR</t>
  </si>
  <si>
    <t>'=FC_AMT/(1+r_EUR*t)</t>
  </si>
  <si>
    <t>USD interest rate r_USD</t>
  </si>
  <si>
    <t>B20</t>
  </si>
  <si>
    <t>USD_current</t>
  </si>
  <si>
    <t>'=PV_EUR*S0</t>
  </si>
  <si>
    <t>EUR interest rate r_EUR</t>
  </si>
  <si>
    <t>B21</t>
  </si>
  <si>
    <t>USD_mm</t>
  </si>
  <si>
    <t>'=USD_current*(1+r_USD*t)</t>
  </si>
  <si>
    <t>Put strike K_put</t>
  </si>
  <si>
    <t>B24</t>
  </si>
  <si>
    <t>CIP_forward</t>
  </si>
  <si>
    <t>'=S0*(1+r_USD*t)/(1+r_EUR*t)</t>
  </si>
  <si>
    <t>Call strike K_call</t>
  </si>
  <si>
    <t>B25</t>
  </si>
  <si>
    <t>Difference</t>
  </si>
  <si>
    <t>'=F0-CIP_forward</t>
  </si>
  <si>
    <t>Put premium (EUR per EUR)</t>
  </si>
  <si>
    <t>B26</t>
  </si>
  <si>
    <t>Proceeds_diff</t>
  </si>
  <si>
    <t>'=USD_mm-USD_forward</t>
  </si>
  <si>
    <t>Call premium (EUR per EUR)</t>
  </si>
  <si>
    <t>B29</t>
  </si>
  <si>
    <t>Premium_put_EUR</t>
  </si>
  <si>
    <t>'=FC_AMT*Premium_put</t>
  </si>
  <si>
    <t>Maturity t (years)</t>
  </si>
  <si>
    <t>B30</t>
  </si>
  <si>
    <t>Premium_put_USD</t>
  </si>
  <si>
    <t>'=Premium_put_EUR*S0</t>
  </si>
  <si>
    <t>B31</t>
  </si>
  <si>
    <t>Premium_call_EUR</t>
  </si>
  <si>
    <t>'=FC_AMT*Premium_call</t>
  </si>
  <si>
    <t>Forward Hedge</t>
  </si>
  <si>
    <t>B32</t>
  </si>
  <si>
    <t>Premium_call_USD</t>
  </si>
  <si>
    <t>'=Premium_call_EUR*S0</t>
  </si>
  <si>
    <t>USD proceeds from forward (USD_forward)</t>
  </si>
  <si>
    <t>B35</t>
  </si>
  <si>
    <t>USD_put</t>
  </si>
  <si>
    <t>'=FC_AMT*S0 + MAX(K_put - S0,0)*FC_AMT - Premium_put_USD</t>
  </si>
  <si>
    <t>B36</t>
  </si>
  <si>
    <t>USD_call</t>
  </si>
  <si>
    <t>'=FC_AMT*S0 + MAX(S0 - K_call,0)*FC_AMT - Premium_call_USD</t>
  </si>
  <si>
    <t>Money Market Hedge</t>
  </si>
  <si>
    <t>Present value of EUR to borrow today (PV_EUR)</t>
  </si>
  <si>
    <t>USD borrowed today (USD_current)</t>
  </si>
  <si>
    <t>USD proceeds in 1 year (USD_mm)</t>
  </si>
  <si>
    <t>CIP Check</t>
  </si>
  <si>
    <t>CIP-implied forward rate (CIP_forward)</t>
  </si>
  <si>
    <t>Difference vs actual forward (Difference)</t>
  </si>
  <si>
    <t>Proceeds difference MM vs Forward (Proceeds_diff)</t>
  </si>
  <si>
    <t>Option Hedges (Put &amp; Call)</t>
  </si>
  <si>
    <t>Put premium in EUR (Premium_put_EUR)</t>
  </si>
  <si>
    <t>Put premium in USD (Premium_put_USD)</t>
  </si>
  <si>
    <t>Call premium in EUR (Premium_call_EUR)</t>
  </si>
  <si>
    <t>Call premium in USD (Premium_call_USD)</t>
  </si>
  <si>
    <t>Base-case option hedge outcomes (S_T = S0)</t>
  </si>
  <si>
    <t>Put hedge USD proceeds (USD_put)</t>
  </si>
  <si>
    <t>Call hedge USD proceeds (USD_call)</t>
  </si>
  <si>
    <t>Unhedged USD proceeds (base case, S_T = S0)</t>
  </si>
  <si>
    <t>Checks &amp; Summary / KPIs</t>
  </si>
  <si>
    <t>Scenario</t>
  </si>
  <si>
    <t>USD Proceeds</t>
  </si>
  <si>
    <t>Difference vs Unhedged</t>
  </si>
  <si>
    <t>Unhedged (base case)</t>
  </si>
  <si>
    <t>Forward vs MM diff (USD)</t>
  </si>
  <si>
    <t>Forward hedge</t>
  </si>
  <si>
    <t>CIP F0 - CIP_forward</t>
  </si>
  <si>
    <t>Money market hedge</t>
  </si>
  <si>
    <t>Put hedge</t>
  </si>
  <si>
    <t>Call hedge</t>
  </si>
  <si>
    <t>Sensitivity Analysis (±5% on S0)</t>
  </si>
  <si>
    <t>S_T</t>
  </si>
  <si>
    <t>Unhedged</t>
  </si>
  <si>
    <t>Forward</t>
  </si>
  <si>
    <t>Money Market</t>
  </si>
  <si>
    <t>Put Hedge</t>
  </si>
  <si>
    <t>Call Hedge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</si>
</sst>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3" fontId="0" fillId="2" borderId="1" xfId="0" applyNumberFormat="1" applyFill="1" applyBorder="1"/>
    <xf numFmtId="164" fontId="0" fillId="2" borderId="1" xfId="0" applyNumberFormat="1" applyFill="1" applyBorder="1"/>
    <xf numFmtId="10" fontId="0" fillId="2" borderId="1" xfId="0" applyNumberFormat="1" applyFill="1" applyBorder="1"/>
    <xf numFmtId="4" fontId="0" fillId="2" borderId="1" xfId="0" applyNumberFormat="1" applyFill="1" applyBorder="1"/>
    <xf numFmtId="165" fontId="0" fillId="3" borderId="1" xfId="0" applyNumberFormat="1" applyFill="1" applyBorder="1"/>
    <xf numFmtId="4" fontId="0" fillId="4" borderId="1" xfId="0" applyNumberFormat="1" applyFill="1" applyBorder="1"/>
    <xf numFmtId="165" fontId="0" fillId="4" borderId="1" xfId="0" applyNumberFormat="1" applyFill="1" applyBorder="1"/>
    <xf numFmtId="164" fontId="0" fillId="4" borderId="1" xfId="0" applyNumberFormat="1" applyFill="1" applyBorder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USD Proceeds vs S_T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Model!$B$51</c:f>
              <c:strCache>
                <c:ptCount val="1"/>
                <c:pt idx="0">
                  <c:v>Unhedged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Model!$A$52:$A$62</c:f>
              <c:numCache>
                <c:formatCode>0.0000</c:formatCode>
                <c:ptCount val="11"/>
                <c:pt idx="0">
                  <c:v>1.0906949999999997</c:v>
                </c:pt>
                <c:pt idx="1">
                  <c:v>1.1021759999999998</c:v>
                </c:pt>
                <c:pt idx="2">
                  <c:v>1.1136569999999999</c:v>
                </c:pt>
                <c:pt idx="3">
                  <c:v>1.125138</c:v>
                </c:pt>
                <c:pt idx="4">
                  <c:v>1.136619</c:v>
                </c:pt>
                <c:pt idx="5">
                  <c:v>1.1481000000000001</c:v>
                </c:pt>
                <c:pt idx="6">
                  <c:v>1.1595810000000002</c:v>
                </c:pt>
                <c:pt idx="7">
                  <c:v>1.1710620000000003</c:v>
                </c:pt>
                <c:pt idx="8">
                  <c:v>1.1825430000000003</c:v>
                </c:pt>
                <c:pt idx="9">
                  <c:v>1.1940240000000004</c:v>
                </c:pt>
                <c:pt idx="10">
                  <c:v>1.2055050000000005</c:v>
                </c:pt>
              </c:numCache>
            </c:numRef>
          </c:cat>
          <c:val>
            <c:numRef>
              <c:f>Model!$B$52:$B$62</c:f>
              <c:numCache>
                <c:formatCode>\$#,##0.00</c:formatCode>
                <c:ptCount val="11"/>
                <c:pt idx="0">
                  <c:v>13633687.499999996</c:v>
                </c:pt>
                <c:pt idx="1">
                  <c:v>13777199.999999998</c:v>
                </c:pt>
                <c:pt idx="2">
                  <c:v>13920712.499999998</c:v>
                </c:pt>
                <c:pt idx="3">
                  <c:v>14064225</c:v>
                </c:pt>
                <c:pt idx="4">
                  <c:v>14207737.5</c:v>
                </c:pt>
                <c:pt idx="5">
                  <c:v>14351250.000000002</c:v>
                </c:pt>
                <c:pt idx="6">
                  <c:v>14494762.500000002</c:v>
                </c:pt>
                <c:pt idx="7">
                  <c:v>14638275.000000004</c:v>
                </c:pt>
                <c:pt idx="8">
                  <c:v>14781787.500000004</c:v>
                </c:pt>
                <c:pt idx="9">
                  <c:v>14925300.000000006</c:v>
                </c:pt>
                <c:pt idx="10">
                  <c:v>15068812.500000006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0-F34A-93B9-106DA349AAB7}"/>
            </c:ext>
          </c:extLst>
        </c:ser>
        <c:ser>
          <c:idx val="1"/>
          <c:order val="1"/>
          <c:tx>
            <c:strRef>
              <c:f>Model!$C$51</c:f>
              <c:strCache>
                <c:ptCount val="1"/>
                <c:pt idx="0">
                  <c:v>Forward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Model!$A$52:$A$62</c:f>
              <c:numCache>
                <c:formatCode>0.0000</c:formatCode>
                <c:ptCount val="11"/>
                <c:pt idx="0">
                  <c:v>1.0906949999999997</c:v>
                </c:pt>
                <c:pt idx="1">
                  <c:v>1.1021759999999998</c:v>
                </c:pt>
                <c:pt idx="2">
                  <c:v>1.1136569999999999</c:v>
                </c:pt>
                <c:pt idx="3">
                  <c:v>1.125138</c:v>
                </c:pt>
                <c:pt idx="4">
                  <c:v>1.136619</c:v>
                </c:pt>
                <c:pt idx="5">
                  <c:v>1.1481000000000001</c:v>
                </c:pt>
                <c:pt idx="6">
                  <c:v>1.1595810000000002</c:v>
                </c:pt>
                <c:pt idx="7">
                  <c:v>1.1710620000000003</c:v>
                </c:pt>
                <c:pt idx="8">
                  <c:v>1.1825430000000003</c:v>
                </c:pt>
                <c:pt idx="9">
                  <c:v>1.1940240000000004</c:v>
                </c:pt>
                <c:pt idx="10">
                  <c:v>1.2055050000000005</c:v>
                </c:pt>
              </c:numCache>
            </c:numRef>
          </c:cat>
          <c:val>
            <c:numRef>
              <c:f>Model!$C$52:$C$62</c:f>
              <c:numCache>
                <c:formatCode>\$#,##0.00</c:formatCode>
                <c:ptCount val="11"/>
                <c:pt idx="0">
                  <c:v>13637500</c:v>
                </c:pt>
                <c:pt idx="1">
                  <c:v>13637500</c:v>
                </c:pt>
                <c:pt idx="2">
                  <c:v>13637500</c:v>
                </c:pt>
                <c:pt idx="3">
                  <c:v>13637500</c:v>
                </c:pt>
                <c:pt idx="4">
                  <c:v>13637500</c:v>
                </c:pt>
                <c:pt idx="5">
                  <c:v>13637500</c:v>
                </c:pt>
                <c:pt idx="6">
                  <c:v>13637500</c:v>
                </c:pt>
                <c:pt idx="7">
                  <c:v>13637500</c:v>
                </c:pt>
                <c:pt idx="8">
                  <c:v>13637500</c:v>
                </c:pt>
                <c:pt idx="9">
                  <c:v>13637500</c:v>
                </c:pt>
                <c:pt idx="10">
                  <c:v>13637500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0-F34A-93B9-106DA349AAB7}"/>
            </c:ext>
          </c:extLst>
        </c:ser>
        <c:ser>
          <c:idx val="2"/>
          <c:order val="2"/>
          <c:tx>
            <c:strRef>
              <c:f>Model!$D$51</c:f>
              <c:strCache>
                <c:ptCount val="1"/>
                <c:pt idx="0">
                  <c:v>Money Market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Model!$A$52:$A$62</c:f>
              <c:numCache>
                <c:formatCode>0.0000</c:formatCode>
                <c:ptCount val="11"/>
                <c:pt idx="0">
                  <c:v>1.0906949999999997</c:v>
                </c:pt>
                <c:pt idx="1">
                  <c:v>1.1021759999999998</c:v>
                </c:pt>
                <c:pt idx="2">
                  <c:v>1.1136569999999999</c:v>
                </c:pt>
                <c:pt idx="3">
                  <c:v>1.125138</c:v>
                </c:pt>
                <c:pt idx="4">
                  <c:v>1.136619</c:v>
                </c:pt>
                <c:pt idx="5">
                  <c:v>1.1481000000000001</c:v>
                </c:pt>
                <c:pt idx="6">
                  <c:v>1.1595810000000002</c:v>
                </c:pt>
                <c:pt idx="7">
                  <c:v>1.1710620000000003</c:v>
                </c:pt>
                <c:pt idx="8">
                  <c:v>1.1825430000000003</c:v>
                </c:pt>
                <c:pt idx="9">
                  <c:v>1.1940240000000004</c:v>
                </c:pt>
                <c:pt idx="10">
                  <c:v>1.2055050000000005</c:v>
                </c:pt>
              </c:numCache>
            </c:numRef>
          </c:cat>
          <c:val>
            <c:numRef>
              <c:f>Model!$D$52:$D$62</c:f>
              <c:numCache>
                <c:formatCode>\$#,##0.00</c:formatCode>
                <c:ptCount val="11"/>
                <c:pt idx="0">
                  <c:v>14567649.9314599</c:v>
                </c:pt>
                <c:pt idx="1">
                  <c:v>14567649.9314599</c:v>
                </c:pt>
                <c:pt idx="2">
                  <c:v>14567649.9314599</c:v>
                </c:pt>
                <c:pt idx="3">
                  <c:v>14567649.9314599</c:v>
                </c:pt>
                <c:pt idx="4">
                  <c:v>14567649.9314599</c:v>
                </c:pt>
                <c:pt idx="5">
                  <c:v>14567649.9314599</c:v>
                </c:pt>
                <c:pt idx="6">
                  <c:v>14567649.9314599</c:v>
                </c:pt>
                <c:pt idx="7">
                  <c:v>14567649.9314599</c:v>
                </c:pt>
                <c:pt idx="8">
                  <c:v>14567649.9314599</c:v>
                </c:pt>
                <c:pt idx="9">
                  <c:v>14567649.9314599</c:v>
                </c:pt>
                <c:pt idx="10">
                  <c:v>14567649.9314599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30-F34A-93B9-106DA349AAB7}"/>
            </c:ext>
          </c:extLst>
        </c:ser>
        <c:ser>
          <c:idx val="3"/>
          <c:order val="3"/>
          <c:tx>
            <c:strRef>
              <c:f>Model!$E$51</c:f>
              <c:strCache>
                <c:ptCount val="1"/>
                <c:pt idx="0">
                  <c:v>Put Hedge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Model!$A$52:$A$62</c:f>
              <c:numCache>
                <c:formatCode>0.0000</c:formatCode>
                <c:ptCount val="11"/>
                <c:pt idx="0">
                  <c:v>1.0906949999999997</c:v>
                </c:pt>
                <c:pt idx="1">
                  <c:v>1.1021759999999998</c:v>
                </c:pt>
                <c:pt idx="2">
                  <c:v>1.1136569999999999</c:v>
                </c:pt>
                <c:pt idx="3">
                  <c:v>1.125138</c:v>
                </c:pt>
                <c:pt idx="4">
                  <c:v>1.136619</c:v>
                </c:pt>
                <c:pt idx="5">
                  <c:v>1.1481000000000001</c:v>
                </c:pt>
                <c:pt idx="6">
                  <c:v>1.1595810000000002</c:v>
                </c:pt>
                <c:pt idx="7">
                  <c:v>1.1710620000000003</c:v>
                </c:pt>
                <c:pt idx="8">
                  <c:v>1.1825430000000003</c:v>
                </c:pt>
                <c:pt idx="9">
                  <c:v>1.1940240000000004</c:v>
                </c:pt>
                <c:pt idx="10">
                  <c:v>1.2055050000000005</c:v>
                </c:pt>
              </c:numCache>
            </c:numRef>
          </c:cat>
          <c:val>
            <c:numRef>
              <c:f>Model!$E$52:$E$62</c:f>
              <c:numCache>
                <c:formatCode>\$#,##0.00</c:formatCode>
                <c:ptCount val="11"/>
                <c:pt idx="0">
                  <c:v>14107278.749999998</c:v>
                </c:pt>
                <c:pt idx="1">
                  <c:v>14107278.75</c:v>
                </c:pt>
                <c:pt idx="2">
                  <c:v>14107278.749999998</c:v>
                </c:pt>
                <c:pt idx="3">
                  <c:v>14107278.75</c:v>
                </c:pt>
                <c:pt idx="4">
                  <c:v>14107278.749999998</c:v>
                </c:pt>
                <c:pt idx="5">
                  <c:v>14107278.750000002</c:v>
                </c:pt>
                <c:pt idx="6">
                  <c:v>14250791.250000002</c:v>
                </c:pt>
                <c:pt idx="7">
                  <c:v>14394303.750000004</c:v>
                </c:pt>
                <c:pt idx="8">
                  <c:v>14537816.250000004</c:v>
                </c:pt>
                <c:pt idx="9">
                  <c:v>14681328.750000006</c:v>
                </c:pt>
                <c:pt idx="10">
                  <c:v>14824841.250000006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30-F34A-93B9-106DA349AAB7}"/>
            </c:ext>
          </c:extLst>
        </c:ser>
        <c:ser>
          <c:idx val="4"/>
          <c:order val="4"/>
          <c:tx>
            <c:strRef>
              <c:f>Model!$F$51</c:f>
              <c:strCache>
                <c:ptCount val="1"/>
                <c:pt idx="0">
                  <c:v>Call Hedge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Model!$A$52:$A$62</c:f>
              <c:numCache>
                <c:formatCode>0.0000</c:formatCode>
                <c:ptCount val="11"/>
                <c:pt idx="0">
                  <c:v>1.0906949999999997</c:v>
                </c:pt>
                <c:pt idx="1">
                  <c:v>1.1021759999999998</c:v>
                </c:pt>
                <c:pt idx="2">
                  <c:v>1.1136569999999999</c:v>
                </c:pt>
                <c:pt idx="3">
                  <c:v>1.125138</c:v>
                </c:pt>
                <c:pt idx="4">
                  <c:v>1.136619</c:v>
                </c:pt>
                <c:pt idx="5">
                  <c:v>1.1481000000000001</c:v>
                </c:pt>
                <c:pt idx="6">
                  <c:v>1.1595810000000002</c:v>
                </c:pt>
                <c:pt idx="7">
                  <c:v>1.1710620000000003</c:v>
                </c:pt>
                <c:pt idx="8">
                  <c:v>1.1825430000000003</c:v>
                </c:pt>
                <c:pt idx="9">
                  <c:v>1.1940240000000004</c:v>
                </c:pt>
                <c:pt idx="10">
                  <c:v>1.2055050000000005</c:v>
                </c:pt>
              </c:numCache>
            </c:numRef>
          </c:cat>
          <c:val>
            <c:numRef>
              <c:f>Model!$F$52:$F$62</c:f>
              <c:numCache>
                <c:formatCode>\$#,##0.00</c:formatCode>
                <c:ptCount val="11"/>
                <c:pt idx="0">
                  <c:v>13317959.999999996</c:v>
                </c:pt>
                <c:pt idx="1">
                  <c:v>13461472.499999998</c:v>
                </c:pt>
                <c:pt idx="2">
                  <c:v>13604984.999999998</c:v>
                </c:pt>
                <c:pt idx="3">
                  <c:v>13748497.5</c:v>
                </c:pt>
                <c:pt idx="4">
                  <c:v>13892010</c:v>
                </c:pt>
                <c:pt idx="5">
                  <c:v>14035522.500000004</c:v>
                </c:pt>
                <c:pt idx="6">
                  <c:v>14322547.500000006</c:v>
                </c:pt>
                <c:pt idx="7">
                  <c:v>14609572.500000007</c:v>
                </c:pt>
                <c:pt idx="8">
                  <c:v>14896597.500000009</c:v>
                </c:pt>
                <c:pt idx="9">
                  <c:v>15183622.500000011</c:v>
                </c:pt>
                <c:pt idx="10">
                  <c:v>15470647.500000013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30-F34A-93B9-106DA349A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S_T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49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2" workbookViewId="0">
      <selection sqref="A1:F1"/>
    </sheetView>
  </sheetViews>
  <sheetFormatPr baseColWidth="10" defaultColWidth="8.83203125" defaultRowHeight="15" x14ac:dyDescent="0.2"/>
  <cols>
    <col min="1" max="1" width="40" customWidth="1"/>
    <col min="2" max="6" width="22" customWidth="1"/>
    <col min="8" max="10" width="22" customWidth="1"/>
  </cols>
  <sheetData>
    <row r="1" spans="1:10" ht="19" x14ac:dyDescent="0.25">
      <c r="A1" s="11" t="s">
        <v>0</v>
      </c>
      <c r="B1" s="12"/>
      <c r="C1" s="12"/>
      <c r="D1" s="12"/>
      <c r="E1" s="12"/>
      <c r="F1" s="12"/>
    </row>
    <row r="3" spans="1:10" x14ac:dyDescent="0.2">
      <c r="A3" s="1" t="s">
        <v>1</v>
      </c>
      <c r="H3" s="1" t="s">
        <v>2</v>
      </c>
    </row>
    <row r="4" spans="1:10" x14ac:dyDescent="0.2">
      <c r="A4" s="2" t="s">
        <v>3</v>
      </c>
      <c r="B4" s="3">
        <v>12500000</v>
      </c>
      <c r="H4" s="1" t="s">
        <v>4</v>
      </c>
      <c r="I4" s="1" t="s">
        <v>5</v>
      </c>
      <c r="J4" s="1" t="s">
        <v>6</v>
      </c>
    </row>
    <row r="5" spans="1:10" x14ac:dyDescent="0.2">
      <c r="A5" s="2" t="s">
        <v>7</v>
      </c>
      <c r="B5" s="4">
        <v>1.1480999999999999</v>
      </c>
      <c r="H5" t="s">
        <v>8</v>
      </c>
      <c r="I5" t="s">
        <v>9</v>
      </c>
      <c r="J5" t="s">
        <v>10</v>
      </c>
    </row>
    <row r="6" spans="1:10" x14ac:dyDescent="0.2">
      <c r="A6" s="2" t="s">
        <v>11</v>
      </c>
      <c r="B6" s="4">
        <v>1.091</v>
      </c>
      <c r="H6" t="s">
        <v>12</v>
      </c>
      <c r="I6" t="s">
        <v>13</v>
      </c>
      <c r="J6" t="s">
        <v>14</v>
      </c>
    </row>
    <row r="7" spans="1:10" x14ac:dyDescent="0.2">
      <c r="A7" s="2" t="s">
        <v>15</v>
      </c>
      <c r="B7" s="5">
        <v>3.6700000000000003E-2</v>
      </c>
      <c r="H7" t="s">
        <v>16</v>
      </c>
      <c r="I7" t="s">
        <v>17</v>
      </c>
      <c r="J7" t="s">
        <v>18</v>
      </c>
    </row>
    <row r="8" spans="1:10" x14ac:dyDescent="0.2">
      <c r="A8" s="2" t="s">
        <v>19</v>
      </c>
      <c r="B8" s="5">
        <v>2.1299999999999999E-2</v>
      </c>
      <c r="H8" t="s">
        <v>20</v>
      </c>
      <c r="I8" t="s">
        <v>21</v>
      </c>
      <c r="J8" t="s">
        <v>22</v>
      </c>
    </row>
    <row r="9" spans="1:10" x14ac:dyDescent="0.2">
      <c r="A9" s="2" t="s">
        <v>23</v>
      </c>
      <c r="B9" s="4">
        <v>1.1480999999999999</v>
      </c>
      <c r="H9" t="s">
        <v>24</v>
      </c>
      <c r="I9" t="s">
        <v>25</v>
      </c>
      <c r="J9" t="s">
        <v>26</v>
      </c>
    </row>
    <row r="10" spans="1:10" x14ac:dyDescent="0.2">
      <c r="A10" s="2" t="s">
        <v>27</v>
      </c>
      <c r="B10" s="4">
        <v>1.1480999999999999</v>
      </c>
      <c r="H10" t="s">
        <v>28</v>
      </c>
      <c r="I10" t="s">
        <v>29</v>
      </c>
      <c r="J10" t="s">
        <v>30</v>
      </c>
    </row>
    <row r="11" spans="1:10" x14ac:dyDescent="0.2">
      <c r="A11" s="2" t="s">
        <v>31</v>
      </c>
      <c r="B11" s="4">
        <v>1.7000000000000001E-2</v>
      </c>
      <c r="H11" t="s">
        <v>32</v>
      </c>
      <c r="I11" t="s">
        <v>33</v>
      </c>
      <c r="J11" t="s">
        <v>34</v>
      </c>
    </row>
    <row r="12" spans="1:10" x14ac:dyDescent="0.2">
      <c r="A12" s="2" t="s">
        <v>35</v>
      </c>
      <c r="B12" s="4">
        <v>2.1999999999999999E-2</v>
      </c>
      <c r="H12" t="s">
        <v>36</v>
      </c>
      <c r="I12" t="s">
        <v>37</v>
      </c>
      <c r="J12" t="s">
        <v>38</v>
      </c>
    </row>
    <row r="13" spans="1:10" x14ac:dyDescent="0.2">
      <c r="A13" s="2" t="s">
        <v>39</v>
      </c>
      <c r="B13" s="6">
        <v>1</v>
      </c>
      <c r="H13" t="s">
        <v>40</v>
      </c>
      <c r="I13" t="s">
        <v>41</v>
      </c>
      <c r="J13" t="s">
        <v>42</v>
      </c>
    </row>
    <row r="14" spans="1:10" x14ac:dyDescent="0.2">
      <c r="H14" t="s">
        <v>43</v>
      </c>
      <c r="I14" t="s">
        <v>44</v>
      </c>
      <c r="J14" t="s">
        <v>45</v>
      </c>
    </row>
    <row r="15" spans="1:10" x14ac:dyDescent="0.2">
      <c r="A15" s="1" t="s">
        <v>46</v>
      </c>
      <c r="H15" t="s">
        <v>47</v>
      </c>
      <c r="I15" t="s">
        <v>48</v>
      </c>
      <c r="J15" t="s">
        <v>49</v>
      </c>
    </row>
    <row r="16" spans="1:10" x14ac:dyDescent="0.2">
      <c r="A16" t="s">
        <v>50</v>
      </c>
      <c r="B16" s="7">
        <f>FC_AMT*F0</f>
        <v>13637500</v>
      </c>
      <c r="H16" t="s">
        <v>51</v>
      </c>
      <c r="I16" t="s">
        <v>52</v>
      </c>
      <c r="J16" t="s">
        <v>53</v>
      </c>
    </row>
    <row r="17" spans="1:10" x14ac:dyDescent="0.2">
      <c r="H17" t="s">
        <v>54</v>
      </c>
      <c r="I17" t="s">
        <v>55</v>
      </c>
      <c r="J17" t="s">
        <v>56</v>
      </c>
    </row>
    <row r="18" spans="1:10" x14ac:dyDescent="0.2">
      <c r="A18" s="1" t="s">
        <v>57</v>
      </c>
    </row>
    <row r="19" spans="1:10" x14ac:dyDescent="0.2">
      <c r="A19" t="s">
        <v>58</v>
      </c>
      <c r="B19" s="8">
        <f>FC_AMT/(1+r_EUR*t)</f>
        <v>12239302.849309701</v>
      </c>
    </row>
    <row r="20" spans="1:10" x14ac:dyDescent="0.2">
      <c r="A20" t="s">
        <v>59</v>
      </c>
      <c r="B20" s="9">
        <f>PV_EUR*S0</f>
        <v>14051943.601292467</v>
      </c>
    </row>
    <row r="21" spans="1:10" x14ac:dyDescent="0.2">
      <c r="A21" t="s">
        <v>60</v>
      </c>
      <c r="B21" s="7">
        <f>USD_current*(1+r_USD*t)</f>
        <v>14567649.9314599</v>
      </c>
    </row>
    <row r="23" spans="1:10" x14ac:dyDescent="0.2">
      <c r="A23" s="1" t="s">
        <v>61</v>
      </c>
    </row>
    <row r="24" spans="1:10" x14ac:dyDescent="0.2">
      <c r="A24" t="s">
        <v>62</v>
      </c>
      <c r="B24" s="10">
        <f>S0*(1+r_USD*t)/(1+r_EUR*t)</f>
        <v>1.165411994516792</v>
      </c>
    </row>
    <row r="25" spans="1:10" x14ac:dyDescent="0.2">
      <c r="A25" t="s">
        <v>63</v>
      </c>
      <c r="B25" s="10">
        <f>F0-CIP_forward</f>
        <v>-7.4411994516792035E-2</v>
      </c>
    </row>
    <row r="26" spans="1:10" x14ac:dyDescent="0.2">
      <c r="A26" t="s">
        <v>64</v>
      </c>
      <c r="B26" s="9">
        <f>USD_mm-USD_forward</f>
        <v>930149.93145989999</v>
      </c>
    </row>
    <row r="28" spans="1:10" x14ac:dyDescent="0.2">
      <c r="A28" s="1" t="s">
        <v>65</v>
      </c>
    </row>
    <row r="29" spans="1:10" x14ac:dyDescent="0.2">
      <c r="A29" t="s">
        <v>66</v>
      </c>
      <c r="B29" s="8">
        <f>FC_AMT*Premium_put</f>
        <v>212500.00000000003</v>
      </c>
    </row>
    <row r="30" spans="1:10" x14ac:dyDescent="0.2">
      <c r="A30" t="s">
        <v>67</v>
      </c>
      <c r="B30" s="9">
        <f>Premium_put_EUR*S0</f>
        <v>243971.25</v>
      </c>
    </row>
    <row r="31" spans="1:10" x14ac:dyDescent="0.2">
      <c r="A31" t="s">
        <v>68</v>
      </c>
      <c r="B31" s="8">
        <f>FC_AMT*Premium_call</f>
        <v>275000</v>
      </c>
    </row>
    <row r="32" spans="1:10" x14ac:dyDescent="0.2">
      <c r="A32" t="s">
        <v>69</v>
      </c>
      <c r="B32" s="8">
        <f>Premium_call_EUR*S0</f>
        <v>315727.5</v>
      </c>
    </row>
    <row r="34" spans="1:6" x14ac:dyDescent="0.2">
      <c r="A34" s="1" t="s">
        <v>70</v>
      </c>
    </row>
    <row r="35" spans="1:6" x14ac:dyDescent="0.2">
      <c r="A35" t="s">
        <v>71</v>
      </c>
      <c r="B35" s="7">
        <f>FC_AMT*S0 + MAX(K_put - S0,0)*FC_AMT - Premium_put_USD</f>
        <v>14107278.749999998</v>
      </c>
    </row>
    <row r="36" spans="1:6" x14ac:dyDescent="0.2">
      <c r="A36" t="s">
        <v>72</v>
      </c>
      <c r="B36" s="7">
        <f>FC_AMT*S0 + MAX(S0 - K_call,0)*FC_AMT - Premium_call_USD</f>
        <v>14035522.499999998</v>
      </c>
    </row>
    <row r="37" spans="1:6" x14ac:dyDescent="0.2">
      <c r="A37" t="s">
        <v>73</v>
      </c>
      <c r="B37" s="7">
        <f>FC_AMT*S0</f>
        <v>14351249.999999998</v>
      </c>
    </row>
    <row r="40" spans="1:6" x14ac:dyDescent="0.2">
      <c r="A40" s="1" t="s">
        <v>74</v>
      </c>
    </row>
    <row r="41" spans="1:6" x14ac:dyDescent="0.2">
      <c r="A41" s="1" t="s">
        <v>75</v>
      </c>
      <c r="B41" s="1" t="s">
        <v>76</v>
      </c>
      <c r="C41" s="1" t="s">
        <v>77</v>
      </c>
    </row>
    <row r="42" spans="1:6" x14ac:dyDescent="0.2">
      <c r="A42" t="s">
        <v>78</v>
      </c>
      <c r="B42" s="7">
        <f>B37</f>
        <v>14351249.999999998</v>
      </c>
      <c r="C42" s="9">
        <f>B42-$B$42</f>
        <v>0</v>
      </c>
      <c r="E42" t="s">
        <v>79</v>
      </c>
      <c r="F42" s="9">
        <f>Proceeds_diff</f>
        <v>930149.93145989999</v>
      </c>
    </row>
    <row r="43" spans="1:6" x14ac:dyDescent="0.2">
      <c r="A43" t="s">
        <v>80</v>
      </c>
      <c r="B43" s="7">
        <f>USD_forward</f>
        <v>13637500</v>
      </c>
      <c r="C43" s="9">
        <f>B43-$B$42</f>
        <v>-713749.99999999814</v>
      </c>
      <c r="E43" t="s">
        <v>81</v>
      </c>
      <c r="F43" s="10">
        <f>Difference</f>
        <v>-7.4411994516792035E-2</v>
      </c>
    </row>
    <row r="44" spans="1:6" x14ac:dyDescent="0.2">
      <c r="A44" t="s">
        <v>82</v>
      </c>
      <c r="B44" s="7">
        <f>USD_mm</f>
        <v>14567649.9314599</v>
      </c>
      <c r="C44" s="9">
        <f>B44-$B$42</f>
        <v>216399.93145990185</v>
      </c>
    </row>
    <row r="45" spans="1:6" x14ac:dyDescent="0.2">
      <c r="A45" t="s">
        <v>83</v>
      </c>
      <c r="B45" s="7">
        <f>USD_put</f>
        <v>14107278.749999998</v>
      </c>
      <c r="C45" s="9">
        <f>B45-$B$42</f>
        <v>-243971.25</v>
      </c>
    </row>
    <row r="46" spans="1:6" x14ac:dyDescent="0.2">
      <c r="A46" t="s">
        <v>84</v>
      </c>
      <c r="B46" s="7">
        <f>USD_call</f>
        <v>14035522.499999998</v>
      </c>
      <c r="C46" s="9">
        <f>B46-$B$42</f>
        <v>-315727.5</v>
      </c>
    </row>
    <row r="50" spans="1:6" x14ac:dyDescent="0.2">
      <c r="A50" s="1" t="s">
        <v>85</v>
      </c>
    </row>
    <row r="51" spans="1:6" x14ac:dyDescent="0.2">
      <c r="A51" s="1" t="s">
        <v>86</v>
      </c>
      <c r="B51" s="1" t="s">
        <v>87</v>
      </c>
      <c r="C51" s="1" t="s">
        <v>88</v>
      </c>
      <c r="D51" s="1" t="s">
        <v>89</v>
      </c>
      <c r="E51" s="1" t="s">
        <v>90</v>
      </c>
      <c r="F51" s="1" t="s">
        <v>91</v>
      </c>
    </row>
    <row r="52" spans="1:6" x14ac:dyDescent="0.2">
      <c r="A52" s="10">
        <f>0.95*S0</f>
        <v>1.0906949999999997</v>
      </c>
      <c r="B52" s="9">
        <f t="shared" ref="B52:B62" si="0">FC_AMT*A52</f>
        <v>13633687.499999996</v>
      </c>
      <c r="C52" s="9">
        <f t="shared" ref="C52:C62" si="1">USD_forward</f>
        <v>13637500</v>
      </c>
      <c r="D52" s="9">
        <f t="shared" ref="D52:D62" si="2">USD_mm</f>
        <v>14567649.9314599</v>
      </c>
      <c r="E52" s="9">
        <f t="shared" ref="E52:E62" si="3">FC_AMT*A52 + MAX(K_put-A52,0)*FC_AMT - Premium_put_USD</f>
        <v>14107278.749999998</v>
      </c>
      <c r="F52" s="9">
        <f t="shared" ref="F52:F62" si="4">FC_AMT*A52 + MAX(A52-K_call,0)*FC_AMT - Premium_call_USD</f>
        <v>13317959.999999996</v>
      </c>
    </row>
    <row r="53" spans="1:6" x14ac:dyDescent="0.2">
      <c r="A53" s="10">
        <f t="shared" ref="A53:A62" si="5">A52+0.01*S0</f>
        <v>1.1021759999999998</v>
      </c>
      <c r="B53" s="9">
        <f t="shared" si="0"/>
        <v>13777199.999999998</v>
      </c>
      <c r="C53" s="9">
        <f t="shared" si="1"/>
        <v>13637500</v>
      </c>
      <c r="D53" s="9">
        <f t="shared" si="2"/>
        <v>14567649.9314599</v>
      </c>
      <c r="E53" s="9">
        <f t="shared" si="3"/>
        <v>14107278.75</v>
      </c>
      <c r="F53" s="9">
        <f t="shared" si="4"/>
        <v>13461472.499999998</v>
      </c>
    </row>
    <row r="54" spans="1:6" x14ac:dyDescent="0.2">
      <c r="A54" s="10">
        <f t="shared" si="5"/>
        <v>1.1136569999999999</v>
      </c>
      <c r="B54" s="9">
        <f t="shared" si="0"/>
        <v>13920712.499999998</v>
      </c>
      <c r="C54" s="9">
        <f t="shared" si="1"/>
        <v>13637500</v>
      </c>
      <c r="D54" s="9">
        <f t="shared" si="2"/>
        <v>14567649.9314599</v>
      </c>
      <c r="E54" s="9">
        <f t="shared" si="3"/>
        <v>14107278.749999998</v>
      </c>
      <c r="F54" s="9">
        <f t="shared" si="4"/>
        <v>13604984.999999998</v>
      </c>
    </row>
    <row r="55" spans="1:6" x14ac:dyDescent="0.2">
      <c r="A55" s="10">
        <f t="shared" si="5"/>
        <v>1.125138</v>
      </c>
      <c r="B55" s="9">
        <f t="shared" si="0"/>
        <v>14064225</v>
      </c>
      <c r="C55" s="9">
        <f t="shared" si="1"/>
        <v>13637500</v>
      </c>
      <c r="D55" s="9">
        <f t="shared" si="2"/>
        <v>14567649.9314599</v>
      </c>
      <c r="E55" s="9">
        <f t="shared" si="3"/>
        <v>14107278.75</v>
      </c>
      <c r="F55" s="9">
        <f t="shared" si="4"/>
        <v>13748497.5</v>
      </c>
    </row>
    <row r="56" spans="1:6" x14ac:dyDescent="0.2">
      <c r="A56" s="10">
        <f t="shared" si="5"/>
        <v>1.136619</v>
      </c>
      <c r="B56" s="9">
        <f t="shared" si="0"/>
        <v>14207737.5</v>
      </c>
      <c r="C56" s="9">
        <f t="shared" si="1"/>
        <v>13637500</v>
      </c>
      <c r="D56" s="9">
        <f t="shared" si="2"/>
        <v>14567649.9314599</v>
      </c>
      <c r="E56" s="9">
        <f t="shared" si="3"/>
        <v>14107278.749999998</v>
      </c>
      <c r="F56" s="9">
        <f t="shared" si="4"/>
        <v>13892010</v>
      </c>
    </row>
    <row r="57" spans="1:6" x14ac:dyDescent="0.2">
      <c r="A57" s="10">
        <f t="shared" si="5"/>
        <v>1.1481000000000001</v>
      </c>
      <c r="B57" s="9">
        <f t="shared" si="0"/>
        <v>14351250.000000002</v>
      </c>
      <c r="C57" s="9">
        <f t="shared" si="1"/>
        <v>13637500</v>
      </c>
      <c r="D57" s="9">
        <f t="shared" si="2"/>
        <v>14567649.9314599</v>
      </c>
      <c r="E57" s="9">
        <f t="shared" si="3"/>
        <v>14107278.750000002</v>
      </c>
      <c r="F57" s="9">
        <f t="shared" si="4"/>
        <v>14035522.500000004</v>
      </c>
    </row>
    <row r="58" spans="1:6" x14ac:dyDescent="0.2">
      <c r="A58" s="10">
        <f t="shared" si="5"/>
        <v>1.1595810000000002</v>
      </c>
      <c r="B58" s="9">
        <f t="shared" si="0"/>
        <v>14494762.500000002</v>
      </c>
      <c r="C58" s="9">
        <f t="shared" si="1"/>
        <v>13637500</v>
      </c>
      <c r="D58" s="9">
        <f t="shared" si="2"/>
        <v>14567649.9314599</v>
      </c>
      <c r="E58" s="9">
        <f t="shared" si="3"/>
        <v>14250791.250000002</v>
      </c>
      <c r="F58" s="9">
        <f t="shared" si="4"/>
        <v>14322547.500000006</v>
      </c>
    </row>
    <row r="59" spans="1:6" x14ac:dyDescent="0.2">
      <c r="A59" s="10">
        <f t="shared" si="5"/>
        <v>1.1710620000000003</v>
      </c>
      <c r="B59" s="9">
        <f t="shared" si="0"/>
        <v>14638275.000000004</v>
      </c>
      <c r="C59" s="9">
        <f t="shared" si="1"/>
        <v>13637500</v>
      </c>
      <c r="D59" s="9">
        <f t="shared" si="2"/>
        <v>14567649.9314599</v>
      </c>
      <c r="E59" s="9">
        <f t="shared" si="3"/>
        <v>14394303.750000004</v>
      </c>
      <c r="F59" s="9">
        <f t="shared" si="4"/>
        <v>14609572.500000007</v>
      </c>
    </row>
    <row r="60" spans="1:6" x14ac:dyDescent="0.2">
      <c r="A60" s="10">
        <f t="shared" si="5"/>
        <v>1.1825430000000003</v>
      </c>
      <c r="B60" s="9">
        <f t="shared" si="0"/>
        <v>14781787.500000004</v>
      </c>
      <c r="C60" s="9">
        <f t="shared" si="1"/>
        <v>13637500</v>
      </c>
      <c r="D60" s="9">
        <f t="shared" si="2"/>
        <v>14567649.9314599</v>
      </c>
      <c r="E60" s="9">
        <f t="shared" si="3"/>
        <v>14537816.250000004</v>
      </c>
      <c r="F60" s="9">
        <f t="shared" si="4"/>
        <v>14896597.500000009</v>
      </c>
    </row>
    <row r="61" spans="1:6" x14ac:dyDescent="0.2">
      <c r="A61" s="10">
        <f t="shared" si="5"/>
        <v>1.1940240000000004</v>
      </c>
      <c r="B61" s="9">
        <f t="shared" si="0"/>
        <v>14925300.000000006</v>
      </c>
      <c r="C61" s="9">
        <f t="shared" si="1"/>
        <v>13637500</v>
      </c>
      <c r="D61" s="9">
        <f t="shared" si="2"/>
        <v>14567649.9314599</v>
      </c>
      <c r="E61" s="9">
        <f t="shared" si="3"/>
        <v>14681328.750000006</v>
      </c>
      <c r="F61" s="9">
        <f t="shared" si="4"/>
        <v>15183622.500000011</v>
      </c>
    </row>
    <row r="62" spans="1:6" x14ac:dyDescent="0.2">
      <c r="A62" s="10">
        <f t="shared" si="5"/>
        <v>1.2055050000000005</v>
      </c>
      <c r="B62" s="9">
        <f t="shared" si="0"/>
        <v>15068812.500000006</v>
      </c>
      <c r="C62" s="9">
        <f t="shared" si="1"/>
        <v>13637500</v>
      </c>
      <c r="D62" s="9">
        <f t="shared" si="2"/>
        <v>14567649.9314599</v>
      </c>
      <c r="E62" s="9">
        <f t="shared" si="3"/>
        <v>14824841.250000006</v>
      </c>
      <c r="F62" s="9">
        <f t="shared" si="4"/>
        <v>15470647.500000013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Model</vt:lpstr>
      <vt:lpstr>CIP_forward</vt:lpstr>
      <vt:lpstr>Difference</vt:lpstr>
      <vt:lpstr>F0</vt:lpstr>
      <vt:lpstr>FC_AMT</vt:lpstr>
      <vt:lpstr>K_call</vt:lpstr>
      <vt:lpstr>K_put</vt:lpstr>
      <vt:lpstr>Premium_call</vt:lpstr>
      <vt:lpstr>Premium_call_EUR</vt:lpstr>
      <vt:lpstr>Premium_call_USD</vt:lpstr>
      <vt:lpstr>Premium_put</vt:lpstr>
      <vt:lpstr>Premium_put_EUR</vt:lpstr>
      <vt:lpstr>Premium_put_USD</vt:lpstr>
      <vt:lpstr>Proceeds_diff</vt:lpstr>
      <vt:lpstr>PV_EUR</vt:lpstr>
      <vt:lpstr>r_EUR</vt:lpstr>
      <vt:lpstr>r_USD</vt:lpstr>
      <vt:lpstr>S0</vt:lpstr>
      <vt:lpstr>t</vt:lpstr>
      <vt:lpstr>USD_call</vt:lpstr>
      <vt:lpstr>USD_current</vt:lpstr>
      <vt:lpstr>USD_forward</vt:lpstr>
      <vt:lpstr>USD_mm</vt:lpstr>
      <vt:lpstr>USD_put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Micayla Ban</cp:lastModifiedBy>
  <dcterms:created xsi:type="dcterms:W3CDTF">2025-12-10T00:53:08Z</dcterms:created>
  <dcterms:modified xsi:type="dcterms:W3CDTF">2025-12-10T20:55:17Z</dcterms:modified>
</cp:coreProperties>
</file>